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3"/>
  </bookViews>
  <sheets>
    <sheet name="File Index" sheetId="1" state="hidden" r:id="rId3"/>
    <sheet name="Cover Page" sheetId="2" state="visible" r:id="rId4"/>
    <sheet name="Cover Page — Print" sheetId="3" state="visible" r:id="rId5"/>
    <sheet name="Board Overview" sheetId="4" state="visible" r:id="rId6"/>
    <sheet name="P&amp;L — Quarter Outlook" sheetId="5" state="visible" r:id="rId7"/>
    <sheet name="ARR — Quarter Outlook" sheetId="6" state="visible" r:id="rId8"/>
    <sheet name="P&amp;L — Full Year" sheetId="7" state="visible" r:id="rId9"/>
    <sheet name="ARR — Full Year" sheetId="8" state="visible" r:id="rId10"/>
    <sheet name="Variance Analysis" sheetId="9" state="visible" r:id="rId11"/>
    <sheet name="P&amp;L — QTD Results" sheetId="10" state="visible" r:id="rId12"/>
    <sheet name="ARR — QTD Results" sheetId="11" state="visible" r:id="rId13"/>
    <sheet name="Natural Expense" sheetId="12" state="visible" r:id="rId14"/>
    <sheet name="P&amp;L Monthly" sheetId="13" state="visible" r:id="rId15"/>
    <sheet name="ARR Monthly" sheetId="14" state="visible" r:id="rId16"/>
    <sheet name="Forecast Inputs" sheetId="15" state="visible" r:id="rId17"/>
    <sheet name="Company Roster" sheetId="16" state="visible" r:id="rId18"/>
  </sheets>
  <definedNames>
    <definedName function="false" hidden="false" localSheetId="7" name="_xlnm.Print_Area" vbProcedure="false">'ARR — Full Year'!$A$1:$K$22</definedName>
    <definedName function="false" hidden="false" localSheetId="10" name="_xlnm.Print_Area" vbProcedure="false">'ARR — QTD Results'!$A$1:$O$33</definedName>
    <definedName function="false" hidden="false" localSheetId="5" name="_xlnm.Print_Area" vbProcedure="false">'ARR — Quarter Outlook'!$A$1:$N$32</definedName>
    <definedName function="false" hidden="false" localSheetId="13" name="_xlnm.Print_Area" vbProcedure="false">'ARR Monthly'!$A$1:$Z$23</definedName>
    <definedName function="false" hidden="false" localSheetId="3" name="_xlnm.Print_Area" vbProcedure="false">'Board Overview'!$A$1:$M$38</definedName>
    <definedName function="false" hidden="false" localSheetId="14" name="_xlnm.Print_Area" vbProcedure="false">'Forecast Inputs'!$A$1:$G$41</definedName>
    <definedName function="false" hidden="false" localSheetId="11" name="_xlnm.Print_Area" vbProcedure="false">'Natural Expense'!$A$1:$Z$25</definedName>
    <definedName function="false" hidden="false" localSheetId="6" name="_xlnm.Print_Area" vbProcedure="false">'P&amp;L — Full Year'!$A$1:$K$28</definedName>
    <definedName function="false" hidden="false" localSheetId="9" name="_xlnm.Print_Area" vbProcedure="false">'P&amp;L — QTD Results'!$A$1:$O$32</definedName>
    <definedName function="false" hidden="false" localSheetId="4" name="_xlnm.Print_Area" vbProcedure="false">'P&amp;L — Quarter Outlook'!$A$1:$O$31</definedName>
    <definedName function="false" hidden="false" localSheetId="12" name="_xlnm.Print_Area" vbProcedure="false">'P&amp;L Monthly'!$A$1:$Q$24</definedName>
    <definedName function="false" hidden="false" localSheetId="8" name="_xlnm.Print_Area" vbProcedure="false">'Variance Analysis'!$A$1:$G$31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<sst xmlns="http://schemas.openxmlformats.org/spreadsheetml/2006/main" count="2052" uniqueCount="639">
  <si>
    <t xml:space="preserve">Setpoint Finance  —  File Index</t>
  </si>
  <si>
    <t xml:space="preserve">Client:  NorthPeak Software  ·  Cycle:  Q1 2026  ·  Prepared:  May 2026</t>
  </si>
  <si>
    <t xml:space="preserve">TAB INDEX</t>
  </si>
  <si>
    <t xml:space="preserve">Tab</t>
  </si>
  <si>
    <t xml:space="preserve">Section</t>
  </si>
  <si>
    <t xml:space="preserve">Purpose</t>
  </si>
  <si>
    <t xml:space="preserve">Audience</t>
  </si>
  <si>
    <t xml:space="preserve">Entry point</t>
  </si>
  <si>
    <t xml:space="preserve">Client-facing cover — dark, professional, three-line orientation</t>
  </si>
  <si>
    <t xml:space="preserve">Client</t>
  </si>
  <si>
    <t xml:space="preserve">Board</t>
  </si>
  <si>
    <t xml:space="preserve">Key metrics tile, ARR waterfall, takeaways and next steps</t>
  </si>
  <si>
    <t xml:space="preserve">Board / CFO</t>
  </si>
  <si>
    <t xml:space="preserve">Current quarter P&amp;L outlook vs budget — primary board view</t>
  </si>
  <si>
    <t xml:space="preserve">Current quarter ARR outlook vs budget — primary board view</t>
  </si>
  <si>
    <t xml:space="preserve">Full-year P&amp;L forecast by quarter vs budget</t>
  </si>
  <si>
    <t xml:space="preserve">Full-year ARR forecast by quarter vs budget</t>
  </si>
  <si>
    <t xml:space="preserve">Management</t>
  </si>
  <si>
    <t xml:space="preserve">What moved and why — key driver column and watchlist</t>
  </si>
  <si>
    <t xml:space="preserve">CFO</t>
  </si>
  <si>
    <t xml:space="preserve">Closed QTD actuals vs budget and prior year</t>
  </si>
  <si>
    <t xml:space="preserve">Closed QTD ARR actuals vs budget and prior year</t>
  </si>
  <si>
    <t xml:space="preserve">Natural P&amp;L by month — cost category view across 24 months</t>
  </si>
  <si>
    <t xml:space="preserve">Functional P&amp;L by month — historical and forecast</t>
  </si>
  <si>
    <t xml:space="preserve">ARR rollforward by month — historical and forecast</t>
  </si>
  <si>
    <t xml:space="preserve">Client input</t>
  </si>
  <si>
    <t xml:space="preserve">Client completes this each cycle — confirm or revise assumptions</t>
  </si>
  <si>
    <t xml:space="preserve">Client / CFO</t>
  </si>
  <si>
    <t xml:space="preserve">Reference</t>
  </si>
  <si>
    <t xml:space="preserve">Employee-level roster — headcount and cost data</t>
  </si>
  <si>
    <t xml:space="preserve">File Index</t>
  </si>
  <si>
    <t xml:space="preserve">Internal</t>
  </si>
  <si>
    <t xml:space="preserve">This tab — hide before sending</t>
  </si>
  <si>
    <t xml:space="preserve">PRE-FLIGHT CHECKLIST</t>
  </si>
  <si>
    <t xml:space="preserve">☐</t>
  </si>
  <si>
    <t xml:space="preserve">Actuals</t>
  </si>
  <si>
    <t xml:space="preserve">Raw actuals integrated from GL — Revenue, COGS, OpEx, headcount</t>
  </si>
  <si>
    <t xml:space="preserve">ARR</t>
  </si>
  <si>
    <t xml:space="preserve">ARR rollforward updated — New, Expansion, Downsell, Churn actuals entered</t>
  </si>
  <si>
    <t xml:space="preserve">Forecast</t>
  </si>
  <si>
    <t xml:space="preserve">Forecast refreshed with latest assumptions from prior cycle inputs</t>
  </si>
  <si>
    <t xml:space="preserve">Board tabs</t>
  </si>
  <si>
    <t xml:space="preserve">Board Overview tiles populated — cash balance confirmed with client</t>
  </si>
  <si>
    <t xml:space="preserve">Commentary</t>
  </si>
  <si>
    <t xml:space="preserve">Draft commentary written on all Section B and C tabs</t>
  </si>
  <si>
    <t xml:space="preserve">Variance</t>
  </si>
  <si>
    <t xml:space="preserve">Variance Analysis key driver column populated — watchlist updated</t>
  </si>
  <si>
    <t xml:space="preserve">Inputs tab</t>
  </si>
  <si>
    <t xml:space="preserve">Forecast Inputs tab cleared and ready for client — trailing actuals updated</t>
  </si>
  <si>
    <t xml:space="preserve">Checks</t>
  </si>
  <si>
    <t xml:space="preserve">Model Checks tab shows all PASS — Natural EBITDA = Functional EBITDA</t>
  </si>
  <si>
    <t xml:space="preserve">OneDrive</t>
  </si>
  <si>
    <t xml:space="preserve">File saved to shared OneDrive folder — client has access confirmed</t>
  </si>
  <si>
    <t xml:space="preserve">This tab hidden before sending — Cover Page is tab 1</t>
  </si>
  <si>
    <t xml:space="preserve">[ Logo ]</t>
  </si>
  <si>
    <t xml:space="preserve">FINANCE PERFORMANCE REVIEW</t>
  </si>
  <si>
    <t xml:space="preserve">Setpoint• Finance</t>
  </si>
  <si>
    <t xml:space="preserve">NorthPeak Software</t>
  </si>
  <si>
    <t xml:space="preserve">Board-ready view of results, outlook, and forward assumptions</t>
  </si>
  <si>
    <t xml:space="preserve">Q1 2026  ·  January — March 2026</t>
  </si>
  <si>
    <t xml:space="preserve">Prepared by Setpoint Finance</t>
  </si>
  <si>
    <t xml:space="preserve">May 2026</t>
  </si>
  <si>
    <t xml:space="preserve">1.</t>
  </si>
  <si>
    <t xml:space="preserve">Review Sections B and C — the quarter outlook and full-year forecast.</t>
  </si>
  <si>
    <t xml:space="preserve">2.</t>
  </si>
  <si>
    <t xml:space="preserve">Complete the Forecast Inputs tab — confirm or revise the forward assumptions.</t>
  </si>
  <si>
    <t xml:space="preserve">3.</t>
  </si>
  <si>
    <t xml:space="preserve">We'll discuss, refine, and finalize in the monthly review meeting.</t>
  </si>
  <si>
    <t xml:space="preserve">Confidential Information</t>
  </si>
  <si>
    <t xml:space="preserve">Illustrative example prepared by Setpoint Finance to demonstrate a typical monthly deliverable. Company name and figures are fictional.</t>
  </si>
  <si>
    <t xml:space="preserve">Setpoint Finance</t>
  </si>
  <si>
    <t xml:space="preserve">Sample — Not an Actual Client</t>
  </si>
  <si>
    <t xml:space="preserve">Board Overview</t>
  </si>
  <si>
    <t xml:space="preserve">Ending ARR</t>
  </si>
  <si>
    <t xml:space="preserve">Revenue (QTD)</t>
  </si>
  <si>
    <t xml:space="preserve">Gross Margin % (QTD)</t>
  </si>
  <si>
    <t xml:space="preserve">vs. Budget</t>
  </si>
  <si>
    <t xml:space="preserve">vs. Budget (pts)</t>
  </si>
  <si>
    <t xml:space="preserve">NRR</t>
  </si>
  <si>
    <t xml:space="preserve">Cash Balance</t>
  </si>
  <si>
    <t xml:space="preserve">Headcount (EOP)</t>
  </si>
  <si>
    <t xml:space="preserve">Key Takeaways</t>
  </si>
  <si>
    <t xml:space="preserve">Next Steps</t>
  </si>
  <si>
    <t xml:space="preserve">Q1 close: EBITDA was $29K favorable to budget overall, but March alone was $57K unfavorable, and the gap widens further into Q2.</t>
  </si>
  <si>
    <t xml:space="preserve">Track new-rep quota attainment monthly through Q2; this is the leading indicator for the whole variance.</t>
  </si>
  <si>
    <t xml:space="preserve">Revenue came in at $6.9M vs. $7.2M budget. The new AE/SDR cohort hired on schedule; bookings are the lagging variable during ramp.</t>
  </si>
  <si>
    <t xml:space="preserve">Confirm CS coverage normalizes as new CSM hires complete onboarding; monitor churn rate weekly.</t>
  </si>
  <si>
    <t xml:space="preserve">Headcount hit 100, exactly on budget for the quarter, and the hiring plan is executing as approved.</t>
  </si>
  <si>
    <t xml:space="preserve">No further headcount pull-forwards planned until Q1 cohort shows clear ramp progress.</t>
  </si>
  <si>
    <t xml:space="preserve">S&amp;M was favorable to budget, but only because commission expense scales down with lower bookings, not independent cost discipline.</t>
  </si>
  <si>
    <t xml:space="preserve">Revisit FY2026 budget pacing at Q2 close if the ramp lag persists beyond plan.</t>
  </si>
  <si>
    <t xml:space="preserve">Trend to watch: Jan/Feb outperformed budget, March underperformed — expect further unfavorable variance into Q2 before it stabilizes.</t>
  </si>
  <si>
    <t xml:space="preserve">ARR Bridge ($K)</t>
  </si>
  <si>
    <t xml:space="preserve">Revenue &amp; Gross Margin %</t>
  </si>
  <si>
    <t xml:space="preserve">Setpoint Finance  ·  Board Overview  ·  Prepared for management review</t>
  </si>
  <si>
    <t xml:space="preserve">Chart 2 — Revenue &amp; GM%</t>
  </si>
  <si>
    <t xml:space="preserve">Period</t>
  </si>
  <si>
    <t xml:space="preserve">Actual</t>
  </si>
  <si>
    <t xml:space="preserve">Budget</t>
  </si>
  <si>
    <t xml:space="preserve">Revenue</t>
  </si>
  <si>
    <t xml:space="preserve">GM %</t>
  </si>
  <si>
    <t xml:space="preserve">Chart 1 — ARR Bridge</t>
  </si>
  <si>
    <t xml:space="preserve">Component</t>
  </si>
  <si>
    <t xml:space="preserve">Actual ($K)</t>
  </si>
  <si>
    <t xml:space="preserve">Budget ($K)</t>
  </si>
  <si>
    <t xml:space="preserve">Beginning ARR</t>
  </si>
  <si>
    <t xml:space="preserve">+ New ARR</t>
  </si>
  <si>
    <t xml:space="preserve">+ Expansion</t>
  </si>
  <si>
    <t xml:space="preserve">- Downsell</t>
  </si>
  <si>
    <t xml:space="preserve">- Gross Churn</t>
  </si>
  <si>
    <t xml:space="preserve">QUARTER OUTLOOK  ·  P&amp;L</t>
  </si>
  <si>
    <t xml:space="preserve">Revenue below budget on new-hire ramp timing; costs tracking close to plan.</t>
  </si>
  <si>
    <t xml:space="preserve">Current-quarter outlook versus budget and prior year  ·  All figures in $000s</t>
  </si>
  <si>
    <t xml:space="preserve">QTD Outlook vs Budget</t>
  </si>
  <si>
    <t xml:space="preserve">vs Prior Year</t>
  </si>
  <si>
    <t xml:space="preserve">YTD Outlook vs Budget</t>
  </si>
  <si>
    <t xml:space="preserve">B/(W)</t>
  </si>
  <si>
    <t xml:space="preserve">YoY %</t>
  </si>
  <si>
    <t xml:space="preserve">Q1 2026</t>
  </si>
  <si>
    <t xml:space="preserve">Q1 2025</t>
  </si>
  <si>
    <t xml:space="preserve">26 vs 25</t>
  </si>
  <si>
    <t xml:space="preserve">YTD 2026</t>
  </si>
  <si>
    <t xml:space="preserve">YTD 2025</t>
  </si>
  <si>
    <t xml:space="preserve">COGS</t>
  </si>
  <si>
    <t xml:space="preserve">Gross Profit</t>
  </si>
  <si>
    <t xml:space="preserve">Gross Margin %</t>
  </si>
  <si>
    <t xml:space="preserve">R&amp;D</t>
  </si>
  <si>
    <t xml:space="preserve">S&amp;M</t>
  </si>
  <si>
    <t xml:space="preserve">G&amp;A</t>
  </si>
  <si>
    <t xml:space="preserve">Total OpEx</t>
  </si>
  <si>
    <t xml:space="preserve">EBITDA</t>
  </si>
  <si>
    <t xml:space="preserve">EBITDA Margin %</t>
  </si>
  <si>
    <t xml:space="preserve">Headcount by Function</t>
  </si>
  <si>
    <t xml:space="preserve">COGS (CS, Prof Svcs, Infra)</t>
  </si>
  <si>
    <t xml:space="preserve">R&amp;D (Engineering, Data Science)</t>
  </si>
  <si>
    <t xml:space="preserve">S&amp;M (Sales, Marketing)</t>
  </si>
  <si>
    <t xml:space="preserve">G&amp;A (Finance, People)</t>
  </si>
  <si>
    <t xml:space="preserve">Total Headcount</t>
  </si>
  <si>
    <t xml:space="preserve">COMMENTARY</t>
  </si>
  <si>
    <t xml:space="preserve">—  EBITDA $29K favorable to budget for the quarter as a whole — but March alone was already $57K unfavorable; the in-quarter trend, not the QTD total, is the signal to watch.</t>
  </si>
  <si>
    <t xml:space="preserve">—  Revenue $6.9M, $265K below budget — Q1 AE/SDR cohort hired on schedule; new ARR bookings are the lagging variable during ramp.</t>
  </si>
  <si>
    <t xml:space="preserve">—  COGS $38K unfavorable — payment processing fees scale with revenue; hosting in line with plan.</t>
  </si>
  <si>
    <t xml:space="preserve">—  S&amp;M $248K favorable — commission expense scales with actual bookings, not headcount; same headcount as budget, lower payout on lower bookings.</t>
  </si>
  <si>
    <t xml:space="preserve">—  G&amp;A $12K unfavorable — Finance/HR hiring modestly ahead of plan, largely offset by lower recruiting spend.</t>
  </si>
  <si>
    <t xml:space="preserve">All figures in $000s  ·  Q1 2026 outlook = actuals through March 2026  ·  Budget = approved FY2026 plan</t>
  </si>
  <si>
    <t xml:space="preserve">QUARTER OUTLOOK  ·  ARR</t>
  </si>
  <si>
    <t xml:space="preserve">ARR growth below budget on new-rep ramp timing; retention pressure from stretched CS capacity.</t>
  </si>
  <si>
    <t xml:space="preserve">Current-quarter ARR outlook versus budget and prior year  ·  All figures in $000s</t>
  </si>
  <si>
    <t xml:space="preserve">+ Expansion ARR</t>
  </si>
  <si>
    <t xml:space="preserve">− Downsell ARR</t>
  </si>
  <si>
    <t xml:space="preserve">− Gross Churn ARR</t>
  </si>
  <si>
    <t xml:space="preserve">Net New ARR</t>
  </si>
  <si>
    <t xml:space="preserve">SAAS KPIS</t>
  </si>
  <si>
    <t xml:space="preserve">ARR Churn Rate</t>
  </si>
  <si>
    <t xml:space="preserve">Expansion Rate</t>
  </si>
  <si>
    <t xml:space="preserve">Gross Revenue Retention (GRR)</t>
  </si>
  <si>
    <t xml:space="preserve">Net Revenue Retention (NRR)</t>
  </si>
  <si>
    <t xml:space="preserve">Net New ARR as % of Beg ARR</t>
  </si>
  <si>
    <t xml:space="preserve">—  Ending ARR $29.6M, ~$2.4M below budget — new ARR bookings lag plan while the Q1 AE cohort ramps to full productivity.</t>
  </si>
  <si>
    <t xml:space="preserve">—  New ARR $4.6M, below the $6.8M budget — reps are hired and onboarded on schedule; output is the lagging variable, not headcount.</t>
  </si>
  <si>
    <t xml:space="preserve">—  Expansion ARR roughly in line with plan — existing-customer upsell motion unaffected by the new-hire ramp.</t>
  </si>
  <si>
    <t xml:space="preserve">—  GRR below budget — CS capacity stretched during the hiring ramp; new CSM hires now onboarding to rebuild coverage.</t>
  </si>
  <si>
    <t xml:space="preserve">—  NRR below budget for the same reason; expect normalization as new CS hires reach full capacity in Q2.</t>
  </si>
  <si>
    <t xml:space="preserve">FULL-YEAR FORECAST  ·  P&amp;L</t>
  </si>
  <si>
    <t xml:space="preserve">Full-year P&amp;L: Q1 actual, Q2–Q4 forecast (from validated model) vs. approved FY2026 budget.</t>
  </si>
  <si>
    <t xml:space="preserve">Full-year P&amp;L forecast versus budget  ·  Quarterly cadence  ·  All figures in $000s</t>
  </si>
  <si>
    <t xml:space="preserve">vs Full-Year Budget</t>
  </si>
  <si>
    <t xml:space="preserve">Q1 Actual</t>
  </si>
  <si>
    <t xml:space="preserve">Q2</t>
  </si>
  <si>
    <t xml:space="preserve">Q3</t>
  </si>
  <si>
    <t xml:space="preserve">Q4</t>
  </si>
  <si>
    <t xml:space="preserve">FY Forecast</t>
  </si>
  <si>
    <t xml:space="preserve">FY Budget</t>
  </si>
  <si>
    <t xml:space="preserve">B/(W) $</t>
  </si>
  <si>
    <t xml:space="preserve">B/(W) %</t>
  </si>
  <si>
    <t xml:space="preserve">2026</t>
  </si>
  <si>
    <t xml:space="preserve">FY 2026</t>
  </si>
  <si>
    <t xml:space="preserve">FULL-YEAR FORECAST  ·  ARR</t>
  </si>
  <si>
    <t xml:space="preserve">Full-year forecast: Q1 actual, Q2–Q4 outlook, versus full-year budget.</t>
  </si>
  <si>
    <t xml:space="preserve">Full-year ARR forecast versus budget  ·  Quarterly cadence  ·  All figures in $000s</t>
  </si>
  <si>
    <t xml:space="preserve">-</t>
  </si>
  <si>
    <t xml:space="preserve">VARIANCE ANALYSIS  ·  MANAGEMENT USE ONLY</t>
  </si>
  <si>
    <t xml:space="preserve">What moved, by how much, and why.</t>
  </si>
  <si>
    <t xml:space="preserve">Q1 2026 actual versus budget  ·  Functional P&amp;L  ·  All figures in $000s  ·  Not for board distribution</t>
  </si>
  <si>
    <t xml:space="preserve">Q1 2026 — Actual vs Budget</t>
  </si>
  <si>
    <t xml:space="preserve">Key Driver</t>
  </si>
  <si>
    <t xml:space="preserve">Material variances only — add context here</t>
  </si>
  <si>
    <t xml:space="preserve">Functional P&amp;L</t>
  </si>
  <si>
    <t xml:space="preserve">Revenue $6.95M vs. $7.21M budget — Q1 AE/SDR cohort hired on schedule; new ARR bookings ($4.6M vs. $6.8M budget) are the lagging variable as reps ramp to quota.</t>
  </si>
  <si>
    <t xml:space="preserve">COGS $38K unfavorable — payment processing fees scale with revenue as expected; hosting in line with plan.</t>
  </si>
  <si>
    <t xml:space="preserve">Gross profit $119K below budget — the revenue shortfall is only partially offset by lower COGS; margin rate is not the issue.</t>
  </si>
  <si>
    <t xml:space="preserve">GM% modestly favorable to budget — cost discipline in COGS, not mix, is driving the small margin outperformance.</t>
  </si>
  <si>
    <t xml:space="preserve">R&amp;D $20K favorable — engineering and data science hiring tracking to plan.</t>
  </si>
  <si>
    <t xml:space="preserve">S&amp;M $248K favorable — same headcount as budget, but commission expense scales with actual bookings; lower bookings mean lower payout, not independent cost discipline.</t>
  </si>
  <si>
    <t xml:space="preserve">G&amp;A $12K unfavorable — Finance/HR hiring modestly ahead of plan; largely offset by lower recruiting spend.</t>
  </si>
  <si>
    <t xml:space="preserve">Total OpEx $168K favorable overall — driven almost entirely by the commission self-correction in S&amp;M, not broad cost control.</t>
  </si>
  <si>
    <t xml:space="preserve">EBITDA $29K favorable to budget for the quarter — but this nets a strong Jan/Feb against a March that already turned unfavorable; the trend, not the QTD total, is the signal.</t>
  </si>
  <si>
    <t xml:space="preserve">Margin rate favorable on a blended QTD basis; watch the monthly trend, not the average, heading into Q2.</t>
  </si>
  <si>
    <t xml:space="preserve">One additional engineering hire vs. budget — pulled forward to support the new product investment.</t>
  </si>
  <si>
    <t xml:space="preserve">Sales headcount on budget for the quarter — the AE/SDR cohort arrived on schedule; the gap is in their ramp, not their start dates.</t>
  </si>
  <si>
    <t xml:space="preserve">Finance/HR added slightly ahead of plan to support the scaled hiring process itself.</t>
  </si>
  <si>
    <t xml:space="preserve">Total headcount finished 1 over budget for the quarter (101 vs. 100) — the G&amp;A build-out ran slightly ahead of plan; the revenue gap is in new-rep productivity, not headcount.</t>
  </si>
  <si>
    <t xml:space="preserve">WATCHLIST</t>
  </si>
  <si>
    <t xml:space="preserve">Item</t>
  </si>
  <si>
    <t xml:space="preserve">Metric / Area</t>
  </si>
  <si>
    <t xml:space="preserve">Status</t>
  </si>
  <si>
    <t xml:space="preserve">Owner</t>
  </si>
  <si>
    <t xml:space="preserve">Next Action</t>
  </si>
  <si>
    <t xml:space="preserve">New AE cohort ramp — 12 reps hired Q1, not yet at full quota</t>
  </si>
  <si>
    <t xml:space="preserve">On track</t>
  </si>
  <si>
    <t xml:space="preserve">VP Sales</t>
  </si>
  <si>
    <t xml:space="preserve">Track monthly quota attainment by cohort; confirm ramp curve holds through Q2.</t>
  </si>
  <si>
    <t xml:space="preserve">ARR churn — elevated in Q1 vs. budget (CS capacity stretched)</t>
  </si>
  <si>
    <t xml:space="preserve">Monitoring</t>
  </si>
  <si>
    <t xml:space="preserve">VP Customer Success</t>
  </si>
  <si>
    <t xml:space="preserve">New CSM hires now onboarding; confirm churn rate normalizes by Q2 close.</t>
  </si>
  <si>
    <t xml:space="preserve">Engineering headcount — 1 hire ahead of plan</t>
  </si>
  <si>
    <t xml:space="preserve">Tracking</t>
  </si>
  <si>
    <t xml:space="preserve">VP Engineering</t>
  </si>
  <si>
    <t xml:space="preserve">Confirm product roadmap justifies the pulled-forward hire; no further pull-forwards planned.</t>
  </si>
  <si>
    <t xml:space="preserve">S&amp;M cost run-rate ahead of bookings</t>
  </si>
  <si>
    <t xml:space="preserve">Expected — timing</t>
  </si>
  <si>
    <t xml:space="preserve">Reassess if bookings haven't inflected by Q2 close; this is the key metric to watch.</t>
  </si>
  <si>
    <t xml:space="preserve">Management use only  ·  Not for board distribution  ·  Prepared by Setpoint Finance  ·  Q1 2026</t>
  </si>
  <si>
    <t xml:space="preserve">QTD ACTUALS  ·  P&amp;L</t>
  </si>
  <si>
    <t xml:space="preserve">Q1 2026 actual results versus budget and prior year  ·  All figures in $000s</t>
  </si>
  <si>
    <t xml:space="preserve">All figures in $000s  ·  Actuals through March 2026  ·  Budget = approved FY2026 plan</t>
  </si>
  <si>
    <t xml:space="preserve">QTD ACTUALS  ·  ARR</t>
  </si>
  <si>
    <t xml:space="preserve">Q1 2026 actual ARR results versus budget and prior year  ·  All figures in $000s</t>
  </si>
  <si>
    <t xml:space="preserve">P&amp;L by Month — Natural View</t>
  </si>
  <si>
    <t xml:space="preserve">Monthly natural P&amp;L  ·  Jan 2025 actuals through Dec 2026 forecast  ·  All figures in $000s  ·  Populated by Setpoint each cycle</t>
  </si>
  <si>
    <t xml:space="preserve">← 2025 Actuals</t>
  </si>
  <si>
    <t xml:space="preserve">2026 Actuals →</t>
  </si>
  <si>
    <t xml:space="preserve">← 2026 Forecast</t>
  </si>
  <si>
    <t xml:space="preserve">($000s)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</si>
  <si>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</si>
  <si>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</si>
  <si>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</si>
  <si>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</si>
  <si>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</si>
  <si>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</si>
  <si>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</si>
  <si>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</si>
  <si>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</si>
  <si>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</si>
  <si>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</si>
  <si>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</si>
  <si>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</si>
  <si>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</si>
  <si>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</si>
  <si>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</si>
  <si>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</si>
  <si>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</si>
  <si>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</si>
  <si>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</si>
  <si>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</si>
  <si>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</si>
  <si>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</si>
  <si>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</si>
  <si>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Salaries</t>
  </si>
  <si>
    <t xml:space="preserve">Bonus / Commissions</t>
  </si>
  <si>
    <t xml:space="preserve">Benefits &amp; Payroll Taxes</t>
  </si>
  <si>
    <t xml:space="preserve">Personnel Costs</t>
  </si>
  <si>
    <t xml:space="preserve">Hosting</t>
  </si>
  <si>
    <t xml:space="preserve">Payment Processing</t>
  </si>
  <si>
    <t xml:space="preserve">Software &amp; SaaS</t>
  </si>
  <si>
    <t xml:space="preserve">Travel &amp; Entertainment</t>
  </si>
  <si>
    <t xml:space="preserve">Marketing Programs</t>
  </si>
  <si>
    <t xml:space="preserve">Professional Services</t>
  </si>
  <si>
    <t xml:space="preserve">Facilities</t>
  </si>
  <si>
    <t xml:space="preserve">Stock-Based Compensation (memo — non-cash, excluded from Total Operating Costs)</t>
  </si>
  <si>
    <t xml:space="preserve">Depreciation &amp; Amortization (memo — non-operating, excluded from Total Operating Costs)</t>
  </si>
  <si>
    <t xml:space="preserve">Total Operating Costs</t>
  </si>
  <si>
    <t xml:space="preserve">P&amp;L by Month — Functional View</t>
  </si>
  <si>
    <t xml:space="preserve">Monthly functional P&amp;L  ·  Jan 2025 through Dec 2026  ·  All figures in $000s  ·  Populated by Setpoint each cycle</t>
  </si>
  <si>
    <t xml:space="preserve">← 2025 (Prior Year)</t>
  </si>
  <si>
    <t xml:space="preserve">2026 (Current Year) →</t>
  </si>
  <si>
    <t xml:space="preserve">COGS  (CS, Professional Svcs, Infra)</t>
  </si>
  <si>
    <t xml:space="preserve">R&amp;D  (Engineering, Data Science)</t>
  </si>
  <si>
    <t xml:space="preserve">S&amp;M  (Sales, Marketing)</t>
  </si>
  <si>
    <t xml:space="preserve">G&amp;A  (Finance, People Ops)</t>
  </si>
  <si>
    <t xml:space="preserve">ARR Rollforward &amp; SaaS KPIs by Month</t>
  </si>
  <si>
    <t xml:space="preserve">Monthly ARR bridge and key SaaS metrics · Jan 2025 (actuals) through Dec 2026 (forecast) · All ARR figures in $000s · Populated by Setpoint each cycle</t>
  </si>
  <si>
    <t xml:space="preserve">← 2025 Actuals (Prior Year)</t>
  </si>
  <si>
    <t xml:space="preserve">ARR ROLLFORWARD</t>
  </si>
  <si>
    <t xml:space="preserve">SAAS KPIs</t>
  </si>
  <si>
    <t xml:space="preserve">Net New ARR as % of Beginning ARR</t>
  </si>
  <si>
    <t xml:space="preserve">GRR = (Beg ARR + Downsell + Gross Churn) / Beg ARR  ·  NRR = (Beg ARR + Expansion + Downsell + Gross Churn) / Beg ARR  ·  Both calculated on beginning-of-period ARR</t>
  </si>
  <si>
    <t xml:space="preserve">FORECAST INPUTS  ·  CLIENT COMPLETES EACH CYCLE</t>
  </si>
  <si>
    <t xml:space="preserve">Confirm or revise the forward assumptions before the monthly review meeting.</t>
  </si>
  <si>
    <t xml:space="preserve">Q1 2026 cycle  ·  Prepared by Setpoint Finance  ·  Return completed before the review meeting</t>
  </si>
  <si>
    <t xml:space="preserve">Your columns are E, F, and G — highlighted in blue.  Column C shows trailing actuals for context.  Column D shows the current forecast assumption.</t>
  </si>
  <si>
    <t xml:space="preserve">DATA INPUTS  ·  Complete once per cycle before sharing</t>
  </si>
  <si>
    <t xml:space="preserve">#</t>
  </si>
  <si>
    <t xml:space="preserve">Trailing actuals (context)</t>
  </si>
  <si>
    <t xml:space="preserve">Current assumption</t>
  </si>
  <si>
    <t xml:space="preserve">Confirm / Revise</t>
  </si>
  <si>
    <t xml:space="preserve">Updated value</t>
  </si>
  <si>
    <t xml:space="preserve">Notes</t>
  </si>
  <si>
    <t xml:space="preserve">↵</t>
  </si>
  <si>
    <t xml:space="preserve">Cash balance
Current cash and equivalents from latest bank statement</t>
  </si>
  <si>
    <t xml:space="preserve">Enter as of date:  ___________</t>
  </si>
  <si>
    <t xml:space="preserve">—</t>
  </si>
  <si>
    <t xml:space="preserve">Used on Board Overview — cash tile and runway calculation</t>
  </si>
  <si>
    <t xml:space="preserve">SECTION 1 — MONTHLY INPUTS  ·  Review and confirm or revise each cycle</t>
  </si>
  <si>
    <t xml:space="preserve">Category  ·  Assumption</t>
  </si>
  <si>
    <t xml:space="preserve">Current forecast assumption</t>
  </si>
  <si>
    <t xml:space="preserve">Updated value  (if Revise)</t>
  </si>
  <si>
    <t xml:space="preserve">Notes / context</t>
  </si>
  <si>
    <t xml:space="preserve">ARR — New bookings
Monthly New ARR target ($)</t>
  </si>
  <si>
    <t xml:space="preserve">Q1 monthly avg: $1.54M</t>
  </si>
  <si>
    <t xml:space="preserve">$2,500,000 / month</t>
  </si>
  <si>
    <t xml:space="preserve">ARR — Expansion
Monthly expansion rate (% of Beg ARR)</t>
  </si>
  <si>
    <t xml:space="preserve">Q1 monthly avg: 0.60% of Beg ARR</t>
  </si>
  <si>
    <t xml:space="preserve">0.70% of Beg ARR</t>
  </si>
  <si>
    <t xml:space="preserve">ARR — Gross churn
Monthly gross churn rate (% of Beg ARR)</t>
  </si>
  <si>
    <t xml:space="preserve">Q1 monthly avg: 0.41% of Beg ARR (elevated — CS capacity stretched)</t>
  </si>
  <si>
    <t xml:space="preserve">0.35% of Beg ARR</t>
  </si>
  <si>
    <t xml:space="preserve">ARR — Downsell / contraction
Monthly downsell rate (% of Beg ARR)</t>
  </si>
  <si>
    <t xml:space="preserve">Q1 monthly avg: 0.17% of Beg ARR</t>
  </si>
  <si>
    <t xml:space="preserve">0.15% of Beg ARR</t>
  </si>
  <si>
    <t xml:space="preserve">ARR — Known deals / adjustments
Specific deals or events not in base assumption</t>
  </si>
  <si>
    <t xml:space="preserve">None material in Q1</t>
  </si>
  <si>
    <t xml:space="preserve">None currently identified</t>
  </si>
  <si>
    <t xml:space="preserve">Sales — Quota attainment
Assumed rep attainment rate</t>
  </si>
  <si>
    <t xml:space="preserve">Not yet at full ramp — Q1 cohort still onboarding</t>
  </si>
  <si>
    <t xml:space="preserve">75%</t>
  </si>
  <si>
    <t xml:space="preserve">Sales — Win rate
Pipeline win rate assumption</t>
  </si>
  <si>
    <t xml:space="preserve">Q1 informal estimate: ~24%</t>
  </si>
  <si>
    <t xml:space="preserve">27%</t>
  </si>
  <si>
    <t xml:space="preserve">Headcount — AE hiring plan
Quota-carrying rep starts (next 90 days)</t>
  </si>
  <si>
    <t xml:space="preserve">19 → 25 reps since Jan-25 (+6 in Q1 2026)</t>
  </si>
  <si>
    <t xml:space="preserve">+7 reps planned (Apr–Jun)</t>
  </si>
  <si>
    <t xml:space="preserve">Translated into Company Roster "Planned" entries, not a direct model input</t>
  </si>
  <si>
    <t xml:space="preserve">Headcount — All other
Non-AE planned starts (next 90 days)</t>
  </si>
  <si>
    <t xml:space="preserve">58 → 75 heads since Jan-25 (+8 in Q1 2026, ex-AE)</t>
  </si>
  <si>
    <t xml:space="preserve">+14 planned (Apr–Jun), concentrated in Eng &amp; CS</t>
  </si>
  <si>
    <t xml:space="preserve">Cost — Marketing programs
Marketing spend as % of revenue</t>
  </si>
  <si>
    <t xml:space="preserve">3.0% of revenue</t>
  </si>
  <si>
    <t xml:space="preserve">Cost — Payment processing
Payment processing as % of revenue</t>
  </si>
  <si>
    <t xml:space="preserve">1.5% of revenue</t>
  </si>
  <si>
    <t xml:space="preserve">Revenue — Professional services
Monthly PS revenue ($)</t>
  </si>
  <si>
    <t xml:space="preserve">Q1 monthly avg: $27.5K</t>
  </si>
  <si>
    <t xml:space="preserve">$33,000 / month</t>
  </si>
  <si>
    <t xml:space="preserve">Cost — Hosting &amp; infrastructure
Hosting/cloud cost as % of revenue</t>
  </si>
  <si>
    <t xml:space="preserve">Q1 average: 0.9% of revenue</t>
  </si>
  <si>
    <t xml:space="preserve">0.9% of revenue</t>
  </si>
  <si>
    <t xml:space="preserve">Cost — Facilities
Fixed monthly office/facilities cost ($)</t>
  </si>
  <si>
    <t xml:space="preserve">Q1 average: ~$1,670 / month</t>
  </si>
  <si>
    <t xml:space="preserve">$8,000 / month — reflects planned office footprint expansion past 100 heads</t>
  </si>
  <si>
    <t xml:space="preserve">SECTION 2 — STANDING ASSUMPTIONS  ·  Quarterly review — flag changes only</t>
  </si>
  <si>
    <t xml:space="preserve">Current value</t>
  </si>
  <si>
    <t xml:space="preserve">Basis / source</t>
  </si>
  <si>
    <t xml:space="preserve">Flag change?</t>
  </si>
  <si>
    <t xml:space="preserve">S1</t>
  </si>
  <si>
    <t xml:space="preserve">Quota per rep
Annual quota per quota-carrying AE</t>
  </si>
  <si>
    <t xml:space="preserve">$1,000,000 / rep / year</t>
  </si>
  <si>
    <t xml:space="preserve">Sales plan — approved FY2026</t>
  </si>
  <si>
    <t xml:space="preserve">No change</t>
  </si>
  <si>
    <t xml:space="preserve">S2</t>
  </si>
  <si>
    <t xml:space="preserve">Benefits &amp; payroll taxes
Load rate on base salaries</t>
  </si>
  <si>
    <t xml:space="preserve">32% of base salaries</t>
  </si>
  <si>
    <t xml:space="preserve">20% benefits + 12% employer burden</t>
  </si>
  <si>
    <t xml:space="preserve">S3</t>
  </si>
  <si>
    <t xml:space="preserve">Software &amp; SaaS tools
Per-employee monthly cost</t>
  </si>
  <si>
    <t xml:space="preserve">$800 / employee / month</t>
  </si>
  <si>
    <t xml:space="preserve">Based on current contracts</t>
  </si>
  <si>
    <t xml:space="preserve">S4</t>
  </si>
  <si>
    <t xml:space="preserve">Travel &amp; entertainment
Per-employee monthly cost</t>
  </si>
  <si>
    <t xml:space="preserve">$250 / employee / month</t>
  </si>
  <si>
    <t xml:space="preserve">Based on FY2025 actuals</t>
  </si>
  <si>
    <t xml:space="preserve">S5</t>
  </si>
  <si>
    <t xml:space="preserve">Outside services
Fixed monthly professional services</t>
  </si>
  <si>
    <t xml:space="preserve">$20,000 / month</t>
  </si>
  <si>
    <t xml:space="preserve">Current contracts</t>
  </si>
  <si>
    <t xml:space="preserve">S6</t>
  </si>
  <si>
    <t xml:space="preserve">Revenue recognition
Subscription revenue method</t>
  </si>
  <si>
    <t xml:space="preserve">(Beg ARR + End ARR) / 24  ·  Monthly straight-line</t>
  </si>
  <si>
    <t xml:space="preserve">GAAP — consistent with prior periods</t>
  </si>
  <si>
    <t xml:space="preserve">SECTION 3 — RISKS &amp; ITEMS NOT YET IN FORECAST  ·  Setpoint flags · CFO responds</t>
  </si>
  <si>
    <t xml:space="preserve">Category  ·  Observation or risk</t>
  </si>
  <si>
    <t xml:space="preserve">Potential impact on forecast</t>
  </si>
  <si>
    <t xml:space="preserve">In forecast?</t>
  </si>
  <si>
    <t xml:space="preserve">CFO guidance</t>
  </si>
  <si>
    <t xml:space="preserve">Priority</t>
  </si>
  <si>
    <t xml:space="preserve">New AE cohort ramp — 7 more reps planned Apr–Jun on top of Q1's 12</t>
  </si>
  <si>
    <t xml:space="preserve">Revenue timing; New ARR assumption depends on this cohort ramping on schedule</t>
  </si>
  <si>
    <t xml:space="preserve">Yes — built into New ARR assumption</t>
  </si>
  <si>
    <t xml:space="preserve">High</t>
  </si>
  <si>
    <t xml:space="preserve">ARR churn elevated in Q1 (CS capacity stretched)</t>
  </si>
  <si>
    <t xml:space="preserve">Downside to Ending ARR if churn doesn't normalize as new CSMs onboard</t>
  </si>
  <si>
    <t xml:space="preserve">Yes — forecast assumes improvement to 0.35%/mo</t>
  </si>
  <si>
    <t xml:space="preserve">Facilities assumption steps up from $1.7K/mo actual to $8K/mo</t>
  </si>
  <si>
    <t xml:space="preserve">~$6.3K/mo incremental cost not yet reflected in any signed lease</t>
  </si>
  <si>
    <t xml:space="preserve">Yes — included in forecast</t>
  </si>
  <si>
    <t xml:space="preserve">Medium</t>
  </si>
  <si>
    <t xml:space="preserve">No specific known deals currently in the ARR adjustment table</t>
  </si>
  <si>
    <t xml:space="preserve">New ARR forecast is a flat run-rate, not built up from named pipeline</t>
  </si>
  <si>
    <t xml:space="preserve">Yes — base assumption only</t>
  </si>
  <si>
    <t xml:space="preserve">Prepared by Setpoint Finance  ·  Complete columns E–G and return before the review meeting  ·  Q1 2026</t>
  </si>
  <si>
    <t xml:space="preserve">ID</t>
  </si>
  <si>
    <t xml:space="preserve">Name</t>
  </si>
  <si>
    <t xml:space="preserve">Department</t>
  </si>
  <si>
    <t xml:space="preserve">Site</t>
  </si>
  <si>
    <t xml:space="preserve">Role / Title</t>
  </si>
  <si>
    <t xml:space="preserve">HC Bucket</t>
  </si>
  <si>
    <t xml:space="preserve">Capacity Role</t>
  </si>
  <si>
    <t xml:space="preserve">Start Date</t>
  </si>
  <si>
    <t xml:space="preserve">End Date</t>
  </si>
  <si>
    <t xml:space="preserve">Currency</t>
  </si>
  <si>
    <t xml:space="preserve">Annual Salary (local)  ←  enter</t>
  </si>
  <si>
    <t xml:space="preserve">Variable / OTE (local)</t>
  </si>
  <si>
    <t xml:space="preserve">OTE (local)</t>
  </si>
  <si>
    <t xml:space="preserve">Employee 1</t>
  </si>
  <si>
    <t xml:space="preserve">Customer Success</t>
  </si>
  <si>
    <t xml:space="preserve">US</t>
  </si>
  <si>
    <t xml:space="preserve">Customer Success Manager</t>
  </si>
  <si>
    <t xml:space="preserve">CoR</t>
  </si>
  <si>
    <t xml:space="preserve">CSM</t>
  </si>
  <si>
    <t xml:space="preserve">Active</t>
  </si>
  <si>
    <t xml:space="preserve">TBD</t>
  </si>
  <si>
    <t xml:space="preserve">USD</t>
  </si>
  <si>
    <t xml:space="preserve">Employee 2</t>
  </si>
  <si>
    <t xml:space="preserve">Associate CSM</t>
  </si>
  <si>
    <t xml:space="preserve">Employee 3</t>
  </si>
  <si>
    <t xml:space="preserve">Sr. Customer Success Manager</t>
  </si>
  <si>
    <t xml:space="preserve">AM</t>
  </si>
  <si>
    <t xml:space="preserve">Employee 4</t>
  </si>
  <si>
    <t xml:space="preserve">Director, Customer Success</t>
  </si>
  <si>
    <t xml:space="preserve">Employee 5</t>
  </si>
  <si>
    <t xml:space="preserve">Employee 6</t>
  </si>
  <si>
    <t xml:space="preserve">VP of Customer Success</t>
  </si>
  <si>
    <t xml:space="preserve">Employee 7</t>
  </si>
  <si>
    <t xml:space="preserve">Employee 8</t>
  </si>
  <si>
    <t xml:space="preserve">Employee 9</t>
  </si>
  <si>
    <t xml:space="preserve">Employee 10</t>
  </si>
  <si>
    <t xml:space="preserve">Employee 11</t>
  </si>
  <si>
    <t xml:space="preserve">Employee 12</t>
  </si>
  <si>
    <t xml:space="preserve">Employee 13</t>
  </si>
  <si>
    <t xml:space="preserve">Employee 14</t>
  </si>
  <si>
    <t xml:space="preserve">Sr. PS Consultant</t>
  </si>
  <si>
    <t xml:space="preserve">Employee 15</t>
  </si>
  <si>
    <t xml:space="preserve">PS Consultant</t>
  </si>
  <si>
    <t xml:space="preserve">Employee 16</t>
  </si>
  <si>
    <t xml:space="preserve">Employee 17</t>
  </si>
  <si>
    <t xml:space="preserve">PS Manager</t>
  </si>
  <si>
    <t xml:space="preserve">Employee 18</t>
  </si>
  <si>
    <t xml:space="preserve">Engineering - Infra</t>
  </si>
  <si>
    <t xml:space="preserve">Cloud Infrastructure Engineer</t>
  </si>
  <si>
    <t xml:space="preserve">Employee 19</t>
  </si>
  <si>
    <t xml:space="preserve">DevOps Engineer</t>
  </si>
  <si>
    <t xml:space="preserve">Employee 20</t>
  </si>
  <si>
    <t xml:space="preserve">Site Reliability Engineer</t>
  </si>
  <si>
    <t xml:space="preserve">Employee 21</t>
  </si>
  <si>
    <t xml:space="preserve">Sr. DevOps Engineer</t>
  </si>
  <si>
    <t xml:space="preserve">Employee 22</t>
  </si>
  <si>
    <t xml:space="preserve">Engineering - Product</t>
  </si>
  <si>
    <t xml:space="preserve">VP of Product</t>
  </si>
  <si>
    <t xml:space="preserve">Employee 23</t>
  </si>
  <si>
    <t xml:space="preserve">Sr. Software Engineer</t>
  </si>
  <si>
    <t xml:space="preserve">Employee 24</t>
  </si>
  <si>
    <t xml:space="preserve">Employee 25</t>
  </si>
  <si>
    <t xml:space="preserve">Software Engineer II</t>
  </si>
  <si>
    <t xml:space="preserve">Employee 26</t>
  </si>
  <si>
    <t xml:space="preserve">Sr. UX Designer</t>
  </si>
  <si>
    <t xml:space="preserve">Employee 27</t>
  </si>
  <si>
    <t xml:space="preserve">Product Manager</t>
  </si>
  <si>
    <t xml:space="preserve">Employee 28</t>
  </si>
  <si>
    <t xml:space="preserve">Employee 29</t>
  </si>
  <si>
    <t xml:space="preserve">Engineering Manager</t>
  </si>
  <si>
    <t xml:space="preserve">Employee 30</t>
  </si>
  <si>
    <t xml:space="preserve">Employee 31</t>
  </si>
  <si>
    <t xml:space="preserve">Employee 32</t>
  </si>
  <si>
    <t xml:space="preserve">Software Engineer I</t>
  </si>
  <si>
    <t xml:space="preserve">Employee 33</t>
  </si>
  <si>
    <t xml:space="preserve">Employee 34</t>
  </si>
  <si>
    <t xml:space="preserve">Staff Software Engineer</t>
  </si>
  <si>
    <t xml:space="preserve">Employee 35</t>
  </si>
  <si>
    <t xml:space="preserve">Employee 36</t>
  </si>
  <si>
    <t xml:space="preserve">Employee 37</t>
  </si>
  <si>
    <t xml:space="preserve">Data Science &amp; AI</t>
  </si>
  <si>
    <t xml:space="preserve">Director of Data Science</t>
  </si>
  <si>
    <t xml:space="preserve">Employee 38</t>
  </si>
  <si>
    <t xml:space="preserve">Data Engineer</t>
  </si>
  <si>
    <t xml:space="preserve">Employee 39</t>
  </si>
  <si>
    <t xml:space="preserve">Employee 40</t>
  </si>
  <si>
    <t xml:space="preserve">Sr. ML Engineer</t>
  </si>
  <si>
    <t xml:space="preserve">Employee 41</t>
  </si>
  <si>
    <t xml:space="preserve">Employee 42</t>
  </si>
  <si>
    <t xml:space="preserve">Sales - Enterprise</t>
  </si>
  <si>
    <t xml:space="preserve">Enterprise Account Executive</t>
  </si>
  <si>
    <t xml:space="preserve">SM</t>
  </si>
  <si>
    <t xml:space="preserve">AE</t>
  </si>
  <si>
    <t xml:space="preserve">Employee 43</t>
  </si>
  <si>
    <t xml:space="preserve">Employee 44</t>
  </si>
  <si>
    <t xml:space="preserve">Mid-Market AE</t>
  </si>
  <si>
    <t xml:space="preserve">Employee 45</t>
  </si>
  <si>
    <t xml:space="preserve">Sales Engineer</t>
  </si>
  <si>
    <t xml:space="preserve">Employee 46</t>
  </si>
  <si>
    <t xml:space="preserve">Employee 47</t>
  </si>
  <si>
    <t xml:space="preserve">Employee 48</t>
  </si>
  <si>
    <t xml:space="preserve">Employee 49</t>
  </si>
  <si>
    <t xml:space="preserve">Employee 50</t>
  </si>
  <si>
    <t xml:space="preserve">VP of Sales</t>
  </si>
  <si>
    <t xml:space="preserve">Employee 51</t>
  </si>
  <si>
    <t xml:space="preserve">Sales Director, Enterprise</t>
  </si>
  <si>
    <t xml:space="preserve">Employee 52</t>
  </si>
  <si>
    <t xml:space="preserve">Employee 53</t>
  </si>
  <si>
    <t xml:space="preserve">Sales - SMB</t>
  </si>
  <si>
    <t xml:space="preserve">Business Development Rep</t>
  </si>
  <si>
    <t xml:space="preserve">Employee 54</t>
  </si>
  <si>
    <t xml:space="preserve">SMB Account Executive</t>
  </si>
  <si>
    <t xml:space="preserve">Employee 55</t>
  </si>
  <si>
    <t xml:space="preserve">Employee 56</t>
  </si>
  <si>
    <t xml:space="preserve">Employee 57</t>
  </si>
  <si>
    <t xml:space="preserve">Employee 58</t>
  </si>
  <si>
    <t xml:space="preserve">Sales Development Rep</t>
  </si>
  <si>
    <t xml:space="preserve">Employee 59</t>
  </si>
  <si>
    <t xml:space="preserve">Employee 60</t>
  </si>
  <si>
    <t xml:space="preserve">Employee 61</t>
  </si>
  <si>
    <t xml:space="preserve">Marketing</t>
  </si>
  <si>
    <t xml:space="preserve">Field Marketing Manager</t>
  </si>
  <si>
    <t xml:space="preserve">Employee 62</t>
  </si>
  <si>
    <t xml:space="preserve">Product Marketing Manager</t>
  </si>
  <si>
    <t xml:space="preserve">Employee 63</t>
  </si>
  <si>
    <t xml:space="preserve">Sr. Demand Gen Manager</t>
  </si>
  <si>
    <t xml:space="preserve">Employee 64</t>
  </si>
  <si>
    <t xml:space="preserve">Employee 65</t>
  </si>
  <si>
    <t xml:space="preserve">VP of Marketing</t>
  </si>
  <si>
    <t xml:space="preserve">Employee 66</t>
  </si>
  <si>
    <t xml:space="preserve">Content Marketing Manager</t>
  </si>
  <si>
    <t xml:space="preserve">Employee 67</t>
  </si>
  <si>
    <t xml:space="preserve">Finance</t>
  </si>
  <si>
    <t xml:space="preserve">FP&amp;A Manager</t>
  </si>
  <si>
    <t xml:space="preserve">GA</t>
  </si>
  <si>
    <t xml:space="preserve">Employee 68</t>
  </si>
  <si>
    <t xml:space="preserve">Business Operations Manager</t>
  </si>
  <si>
    <t xml:space="preserve">Employee 69</t>
  </si>
  <si>
    <t xml:space="preserve">Staff Accountant</t>
  </si>
  <si>
    <t xml:space="preserve">Employee 70</t>
  </si>
  <si>
    <t xml:space="preserve">Sr. Financial Analyst</t>
  </si>
  <si>
    <t xml:space="preserve">Employee 71</t>
  </si>
  <si>
    <t xml:space="preserve">Employee 72</t>
  </si>
  <si>
    <t xml:space="preserve">Employee 73</t>
  </si>
  <si>
    <t xml:space="preserve">Employee 74</t>
  </si>
  <si>
    <t xml:space="preserve">HR &amp; People Ops</t>
  </si>
  <si>
    <t xml:space="preserve">Recruiter</t>
  </si>
  <si>
    <t xml:space="preserve">Employee 75</t>
  </si>
  <si>
    <t xml:space="preserve">HR Business Partner</t>
  </si>
  <si>
    <t xml:space="preserve">Employee 76</t>
  </si>
  <si>
    <t xml:space="preserve">People Operations Specialist</t>
  </si>
  <si>
    <t xml:space="preserve">Employee 77</t>
  </si>
  <si>
    <t xml:space="preserve">Employee 78</t>
  </si>
  <si>
    <t xml:space="preserve">Support Engineer</t>
  </si>
  <si>
    <t xml:space="preserve">Employee 79</t>
  </si>
  <si>
    <t xml:space="preserve">Employee 80</t>
  </si>
  <si>
    <t xml:space="preserve">Employee 81</t>
  </si>
  <si>
    <t xml:space="preserve">Employee 82</t>
  </si>
  <si>
    <t xml:space="preserve">Marketing Operations Manager</t>
  </si>
  <si>
    <t xml:space="preserve">Employee 83</t>
  </si>
  <si>
    <t xml:space="preserve">Employee 84</t>
  </si>
  <si>
    <t xml:space="preserve">Employee 85</t>
  </si>
  <si>
    <t xml:space="preserve">Employee 86</t>
  </si>
  <si>
    <t xml:space="preserve">SEO / Growth Manager</t>
  </si>
  <si>
    <t xml:space="preserve">Employee 87</t>
  </si>
  <si>
    <t xml:space="preserve">Employee 88</t>
  </si>
  <si>
    <t xml:space="preserve">Employee 89</t>
  </si>
  <si>
    <t xml:space="preserve">Employee 90</t>
  </si>
  <si>
    <t xml:space="preserve">IT Manager</t>
  </si>
  <si>
    <t xml:space="preserve">Employee 91</t>
  </si>
  <si>
    <t xml:space="preserve">Sr. Recruiter</t>
  </si>
  <si>
    <t xml:space="preserve">Employee 92</t>
  </si>
  <si>
    <t xml:space="preserve">Employee 93</t>
  </si>
  <si>
    <t xml:space="preserve">Employee 94</t>
  </si>
  <si>
    <t xml:space="preserve">Employee 95</t>
  </si>
  <si>
    <t xml:space="preserve">Employee 96</t>
  </si>
  <si>
    <t xml:space="preserve">Employee 97</t>
  </si>
  <si>
    <t xml:space="preserve">Employee 98</t>
  </si>
  <si>
    <t xml:space="preserve">Employee 99</t>
  </si>
  <si>
    <t xml:space="preserve">Employee 100</t>
  </si>
  <si>
    <t xml:space="preserve">Marketing Analyst</t>
  </si>
  <si>
    <t xml:space="preserve">Employee 101</t>
  </si>
  <si>
    <t xml:space="preserve">Planned Hire 102</t>
  </si>
  <si>
    <t xml:space="preserve">Planned</t>
  </si>
  <si>
    <t xml:space="preserve">Planned Hire 103</t>
  </si>
  <si>
    <t xml:space="preserve">Planned Hire 104</t>
  </si>
  <si>
    <t xml:space="preserve">Planned Hire 105</t>
  </si>
  <si>
    <t xml:space="preserve">Planned Hire 106</t>
  </si>
  <si>
    <t xml:space="preserve">Planned Hire 107</t>
  </si>
  <si>
    <t xml:space="preserve">Planned Hire 108</t>
  </si>
  <si>
    <t xml:space="preserve">Planned Hire 109</t>
  </si>
  <si>
    <t xml:space="preserve">Planned Hire 110</t>
  </si>
  <si>
    <t xml:space="preserve">Planned Hire 111</t>
  </si>
  <si>
    <t xml:space="preserve">Planned Hire 112</t>
  </si>
  <si>
    <t xml:space="preserve">Planned Hire 113</t>
  </si>
  <si>
    <t xml:space="preserve">Planned Hire 114</t>
  </si>
  <si>
    <t xml:space="preserve">Data Analyst</t>
  </si>
  <si>
    <t xml:space="preserve">Planned Hire 115</t>
  </si>
  <si>
    <t xml:space="preserve">Planned Hire 116</t>
  </si>
  <si>
    <t xml:space="preserve">Planned Hire 117</t>
  </si>
  <si>
    <t xml:space="preserve">Planned Hire 118</t>
  </si>
  <si>
    <t xml:space="preserve">Planned Hire 119</t>
  </si>
  <si>
    <t xml:space="preserve">Planned Hire 120</t>
  </si>
  <si>
    <t xml:space="preserve">Planned Hire 121</t>
  </si>
  <si>
    <t xml:space="preserve">Planned Hire 122</t>
  </si>
  <si>
    <t xml:space="preserve">Planned Hire 123</t>
  </si>
  <si>
    <t xml:space="preserve">Planned Hire 124</t>
  </si>
  <si>
    <t xml:space="preserve">Planned Hire 125</t>
  </si>
  <si>
    <t xml:space="preserve">Planned Hire 126</t>
  </si>
  <si>
    <t xml:space="preserve">Planned Hire 127</t>
  </si>
  <si>
    <t xml:space="preserve">Planned Hire 128</t>
  </si>
  <si>
    <t xml:space="preserve">Sales Operations Manager</t>
  </si>
  <si>
    <t xml:space="preserve">Planned Hire 129</t>
  </si>
  <si>
    <t xml:space="preserve">Planned Hire 130</t>
  </si>
  <si>
    <t xml:space="preserve">Planned Hire 131</t>
  </si>
  <si>
    <t xml:space="preserve">Planned Hire 132</t>
  </si>
  <si>
    <t xml:space="preserve">Planned Hire 133</t>
  </si>
  <si>
    <t xml:space="preserve">Planned Hire 134</t>
  </si>
  <si>
    <t xml:space="preserve">Planned Hire 135</t>
  </si>
  <si>
    <t xml:space="preserve">Planned Hire 136</t>
  </si>
  <si>
    <t xml:space="preserve">Planned Hire 137</t>
  </si>
  <si>
    <t xml:space="preserve">Planned Hire 138</t>
  </si>
  <si>
    <t xml:space="preserve">Planned Hire 139</t>
  </si>
  <si>
    <t xml:space="preserve">Sr. Product Manager</t>
  </si>
  <si>
    <t xml:space="preserve">Planned Hire 140</t>
  </si>
  <si>
    <t xml:space="preserve">Planned Hire 141</t>
  </si>
  <si>
    <t xml:space="preserve">Planned Hire 142</t>
  </si>
  <si>
    <t xml:space="preserve">Planned Hire 143</t>
  </si>
  <si>
    <t xml:space="preserve">Planned Hire 144</t>
  </si>
  <si>
    <t xml:space="preserve">Planned Hire 145</t>
  </si>
  <si>
    <t xml:space="preserve">Planned Hire 146</t>
  </si>
  <si>
    <t xml:space="preserve">Planned Hire 147</t>
  </si>
  <si>
    <t xml:space="preserve">Planned Hire 148</t>
  </si>
  <si>
    <t xml:space="preserve">Planned Hire 149</t>
  </si>
  <si>
    <t xml:space="preserve">Planned Hire 150</t>
  </si>
  <si>
    <t xml:space="preserve">Planned Hire 151</t>
  </si>
  <si>
    <t xml:space="preserve">Planned Hire 152</t>
  </si>
  <si>
    <t xml:space="preserve">Revenue Operations Manager</t>
  </si>
  <si>
    <t xml:space="preserve">Planned Hire 153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</si>
</sst>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\$#,##0,,\M"/>
    <numFmt numFmtId="166" formatCode="0.0%"/>
    <numFmt numFmtId="167" formatCode="&quot;+$&quot;#,##0,,\M;&quot;($&quot;#,##0,,&quot;M)&quot;;\-"/>
    <numFmt numFmtId="168" formatCode="\+0&quot; bps&quot;;\(0&quot; bps)&quot;;\-"/>
    <numFmt numFmtId="169" formatCode="#,##0"/>
    <numFmt numFmtId="170" formatCode="\$#,##0,,&quot; M&quot;"/>
    <numFmt numFmtId="171" formatCode="[BLUE]\+0.0&quot; pts&quot;;[RED]\-0.0&quot; pts&quot;"/>
    <numFmt numFmtId="172" formatCode="0.0&quot; months&quot;"/>
    <numFmt numFmtId="173" formatCode="\+0&quot; above plan&quot;;0&quot; below plan&quot;;\-"/>
    <numFmt numFmtId="174" formatCode="_(* #,##0_);_(* \(#,##0\);_(* \-??_);_(@_)"/>
    <numFmt numFmtId="175" formatCode="#,##0;\(#,##0\);\-"/>
    <numFmt numFmtId="176" formatCode="0%"/>
    <numFmt numFmtId="177" formatCode="\+#,##0;\(#,##0\);\-"/>
    <numFmt numFmtId="178" formatCode="\+0.0%;\(0.0%\);\-"/>
    <numFmt numFmtId="179" formatCode="0.0%;\(0.0%\);\-"/>
    <numFmt numFmtId="180" formatCode="0"/>
    <numFmt numFmtId="181" formatCode="mmm\-yy"/>
  </numFmts>
  <fonts count="7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Aptos"/>
      <family val="2"/>
      <charset val="1"/>
    </font>
    <font>
      <sz val="10"/>
      <color rgb="FF1A1814"/>
      <name val="Arial"/>
      <family val="2"/>
      <charset val="1"/>
    </font>
    <font>
      <b val="true"/>
      <sz val="13"/>
      <color rgb="FF1A1814"/>
      <name val="Arial"/>
      <family val="2"/>
      <charset val="1"/>
    </font>
    <font>
      <sz val="9"/>
      <color rgb="FFB85C38"/>
      <name val="Arial"/>
      <family val="2"/>
      <charset val="1"/>
    </font>
    <font>
      <i val="true"/>
      <sz val="9"/>
      <color rgb="FF8A7E6E"/>
      <name val="Arial"/>
      <family val="2"/>
      <charset val="1"/>
    </font>
    <font>
      <sz val="8"/>
      <color rgb="FFB85C38"/>
      <name val="Arial"/>
      <family val="2"/>
      <charset val="1"/>
    </font>
    <font>
      <b val="true"/>
      <sz val="8"/>
      <color rgb="FF1A1814"/>
      <name val="Arial"/>
      <family val="2"/>
      <charset val="1"/>
    </font>
    <font>
      <sz val="9"/>
      <color rgb="FF5A544A"/>
      <name val="Arial"/>
      <family val="2"/>
      <charset val="1"/>
    </font>
    <font>
      <b val="true"/>
      <sz val="9"/>
      <color rgb="FF1A1814"/>
      <name val="Arial"/>
      <family val="2"/>
      <charset val="1"/>
    </font>
    <font>
      <b val="true"/>
      <sz val="9"/>
      <color rgb="FFB85C38"/>
      <name val="Arial"/>
      <family val="2"/>
      <charset val="1"/>
    </font>
    <font>
      <sz val="10"/>
      <color rgb="FFB85C38"/>
      <name val="Arial"/>
      <family val="2"/>
      <charset val="1"/>
    </font>
    <font>
      <sz val="11"/>
      <name val="Calibri"/>
      <family val="2"/>
      <charset val="1"/>
    </font>
    <font>
      <i val="true"/>
      <sz val="9"/>
      <color rgb="FF4A4238"/>
      <name val="Arial"/>
      <family val="2"/>
      <charset val="1"/>
    </font>
    <font>
      <sz val="10"/>
      <color rgb="FFFFFFFF"/>
      <name val="Arial"/>
      <family val="2"/>
      <charset val="1"/>
    </font>
    <font>
      <sz val="9"/>
      <color rgb="FF4A4238"/>
      <name val="Arial"/>
      <family val="2"/>
      <charset val="1"/>
    </font>
    <font>
      <b val="true"/>
      <sz val="32"/>
      <color rgb="FFFFFFFF"/>
      <name val="Arial"/>
      <family val="2"/>
      <charset val="1"/>
    </font>
    <font>
      <sz val="13"/>
      <color rgb="FF8A7E6E"/>
      <name val="Arial"/>
      <family val="2"/>
      <charset val="1"/>
    </font>
    <font>
      <sz val="10"/>
      <color rgb="FF8A7E6E"/>
      <name val="Arial"/>
      <family val="2"/>
      <charset val="1"/>
    </font>
    <font>
      <sz val="9"/>
      <color rgb="FFFFFFFF"/>
      <name val="Arial"/>
      <family val="2"/>
      <charset val="1"/>
    </font>
    <font>
      <b val="true"/>
      <sz val="9"/>
      <color rgb="FF8A7E6E"/>
      <name val="Arial"/>
      <family val="2"/>
      <charset val="1"/>
    </font>
    <font>
      <i val="true"/>
      <sz val="8"/>
      <color rgb="FF5A544A"/>
      <name val="Arial"/>
      <family val="2"/>
      <charset val="1"/>
    </font>
    <font>
      <b val="true"/>
      <sz val="32"/>
      <color rgb="FF1A1814"/>
      <name val="Arial"/>
      <family val="2"/>
      <charset val="1"/>
    </font>
    <font>
      <sz val="13"/>
      <color rgb="FF5A544A"/>
      <name val="Arial"/>
      <family val="2"/>
      <charset val="1"/>
    </font>
    <font>
      <sz val="10"/>
      <color rgb="FF5A544A"/>
      <name val="Arial"/>
      <family val="2"/>
      <charset val="1"/>
    </font>
    <font>
      <sz val="9"/>
      <name val="Arial"/>
      <family val="2"/>
      <charset val="1"/>
    </font>
    <font>
      <b val="true"/>
      <sz val="9"/>
      <color rgb="FF5A544A"/>
      <name val="Arial"/>
      <family val="2"/>
      <charset val="1"/>
    </font>
    <font>
      <i val="true"/>
      <sz val="8"/>
      <color rgb="FF8A7E6E"/>
      <name val="Arial"/>
      <family val="2"/>
      <charset val="1"/>
    </font>
    <font>
      <sz val="9"/>
      <name val="Calibri"/>
      <family val="2"/>
      <charset val="1"/>
    </font>
    <font>
      <b val="true"/>
      <sz val="13"/>
      <color rgb="FFF0EBE3"/>
      <name val="Arial"/>
      <family val="2"/>
      <charset val="1"/>
    </font>
    <font>
      <sz val="8"/>
      <color rgb="FF8A7E6E"/>
      <name val="Arial"/>
      <family val="2"/>
      <charset val="1"/>
    </font>
    <font>
      <sz val="8"/>
      <color rgb="FF5A544A"/>
      <name val="Arial"/>
      <family val="2"/>
      <charset val="1"/>
    </font>
    <font>
      <b val="true"/>
      <sz val="18"/>
      <color rgb="FFF0EBE3"/>
      <name val="Arial"/>
      <family val="2"/>
      <charset val="1"/>
    </font>
    <font>
      <b val="true"/>
      <sz val="9"/>
      <color rgb="FFE07055"/>
      <name val="Arial"/>
      <family val="2"/>
      <charset val="1"/>
    </font>
    <font>
      <sz val="9"/>
      <color rgb="FF8A7E6E"/>
      <name val="Arial"/>
      <family val="2"/>
      <charset val="1"/>
    </font>
    <font>
      <sz val="8"/>
      <color rgb="FF5A544A"/>
      <name val="Calibri"/>
      <family val="2"/>
      <charset val="1"/>
    </font>
    <font>
      <sz val="9"/>
      <color rgb="FF8A7E6E"/>
      <name val="Calibri"/>
      <family val="2"/>
      <charset val="1"/>
    </font>
    <font>
      <b val="true"/>
      <sz val="9"/>
      <color rgb="FF6AA87A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9"/>
      <color rgb="FF8A7E6E"/>
      <name val="Arial"/>
      <family val="0"/>
      <charset val="1"/>
    </font>
    <font>
      <sz val="1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b val="true"/>
      <sz val="9"/>
      <color theme="0"/>
      <name val="Calibri"/>
      <family val="2"/>
      <charset val="1"/>
    </font>
    <font>
      <sz val="8"/>
      <color rgb="FFF0EBE3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b val="true"/>
      <sz val="17"/>
      <color rgb="FF1A1814"/>
      <name val="Arial"/>
      <family val="2"/>
      <charset val="1"/>
    </font>
    <font>
      <sz val="9"/>
      <color theme="0"/>
      <name val="Aptos"/>
      <family val="2"/>
      <charset val="1"/>
    </font>
    <font>
      <sz val="8"/>
      <color rgb="FFFFFFFF"/>
      <name val="Arial"/>
      <family val="2"/>
      <charset val="1"/>
    </font>
    <font>
      <b val="true"/>
      <sz val="8"/>
      <color rgb="FFB85C38"/>
      <name val="Arial"/>
      <family val="2"/>
      <charset val="1"/>
    </font>
    <font>
      <b val="true"/>
      <sz val="9"/>
      <name val="Aptos"/>
      <family val="2"/>
      <charset val="1"/>
    </font>
    <font>
      <b val="true"/>
      <sz val="10"/>
      <color rgb="FF1A1814"/>
      <name val="Arial"/>
      <family val="2"/>
      <charset val="1"/>
    </font>
    <font>
      <sz val="11"/>
      <color theme="1" tint="0.0499"/>
      <name val="Aptos"/>
      <family val="2"/>
      <charset val="1"/>
    </font>
    <font>
      <sz val="11"/>
      <color theme="0"/>
      <name val="Aptos"/>
      <family val="2"/>
      <charset val="1"/>
    </font>
    <font>
      <b val="true"/>
      <sz val="11"/>
      <color theme="1" tint="0.0499"/>
      <name val="Aptos"/>
      <family val="2"/>
      <charset val="1"/>
    </font>
    <font>
      <i val="true"/>
      <sz val="8"/>
      <color rgb="FF888888"/>
      <name val="Arial"/>
      <family val="2"/>
      <charset val="1"/>
    </font>
    <font>
      <sz val="11"/>
      <name val="Aptos"/>
      <family val="2"/>
      <charset val="1"/>
    </font>
    <font>
      <b val="true"/>
      <sz val="11"/>
      <name val="Aptos"/>
      <family val="2"/>
      <charset val="1"/>
    </font>
    <font>
      <b val="true"/>
      <sz val="10"/>
      <color rgb="FF1A1814"/>
      <name val="Calibri"/>
      <family val="2"/>
      <charset val="1"/>
    </font>
    <font>
      <sz val="10"/>
      <color rgb="FF1A1814"/>
      <name val="Calibri"/>
      <family val="2"/>
      <charset val="1"/>
    </font>
    <font>
      <b val="true"/>
      <sz val="9"/>
      <color rgb="FF1A1814"/>
      <name val="Calibri"/>
      <family val="2"/>
      <charset val="1"/>
    </font>
    <font>
      <sz val="9"/>
      <color rgb="FF1A1814"/>
      <name val="Calibri"/>
      <family val="2"/>
      <charset val="1"/>
    </font>
    <font>
      <sz val="9"/>
      <color rgb="FF1A1814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9"/>
      <color rgb="FF666666"/>
      <name val="Arial"/>
      <family val="2"/>
      <charset val="1"/>
    </font>
    <font>
      <sz val="8"/>
      <color rgb="FF1A1814"/>
      <name val="Arial"/>
      <family val="2"/>
      <charset val="1"/>
    </font>
    <font>
      <sz val="8"/>
      <color rgb="FFFFFFFF"/>
      <name val="Calibri"/>
      <family val="2"/>
      <charset val="1"/>
    </font>
    <font>
      <sz val="8"/>
      <color rgb="FFB85C38"/>
      <name val="Calibri"/>
      <family val="2"/>
      <charset val="1"/>
    </font>
    <font>
      <i val="true"/>
      <sz val="9"/>
      <color rgb="FF595959"/>
      <name val="Arial"/>
      <family val="2"/>
      <charset val="1"/>
    </font>
    <font>
      <i val="true"/>
      <sz val="9"/>
      <color rgb="FFAAAAAA"/>
      <name val="Arial"/>
      <family val="2"/>
      <charset val="1"/>
    </font>
    <font>
      <b val="true"/>
      <sz val="8"/>
      <color rgb="FFFFFFFF"/>
      <name val="Arial"/>
      <family val="2"/>
      <charset val="1"/>
    </font>
    <font>
      <i val="true"/>
      <sz val="9"/>
      <color rgb="FF888888"/>
      <name val="Arial"/>
      <family val="2"/>
      <charset val="1"/>
    </font>
    <font>
      <sz val="11"/>
      <name val="Arial"/>
      <family val="2"/>
      <charset val="1"/>
    </font>
    <font>
      <b val="true"/>
      <sz val="9"/>
      <color rgb="FFFFFFFF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3F6FA"/>
      </patternFill>
    </fill>
    <fill>
      <patternFill patternType="solid">
        <fgColor rgb="FFF7F5F2"/>
        <bgColor rgb="FFF7F3EC"/>
      </patternFill>
    </fill>
    <fill>
      <patternFill patternType="solid">
        <fgColor rgb="FF1A1814"/>
        <bgColor rgb="FF1E1C18"/>
      </patternFill>
    </fill>
    <fill>
      <patternFill patternType="solid">
        <fgColor rgb="FFF7F3EC"/>
        <bgColor rgb="FFF7F5F2"/>
      </patternFill>
    </fill>
    <fill>
      <patternFill patternType="solid">
        <fgColor rgb="FF2A2420"/>
        <bgColor rgb="FF201E1A"/>
      </patternFill>
    </fill>
    <fill>
      <patternFill patternType="solid">
        <fgColor rgb="FF201E1A"/>
        <bgColor rgb="FF1E1C18"/>
      </patternFill>
    </fill>
    <fill>
      <patternFill patternType="solid">
        <fgColor rgb="FFF3F6FA"/>
        <bgColor rgb="FFF7F5F2"/>
      </patternFill>
    </fill>
    <fill>
      <patternFill patternType="solid">
        <fgColor rgb="FF1E1C18"/>
        <bgColor rgb="FF201E1A"/>
      </patternFill>
    </fill>
    <fill>
      <patternFill patternType="solid">
        <fgColor theme="1"/>
        <bgColor rgb="FF0D0D0D"/>
      </patternFill>
    </fill>
    <fill>
      <patternFill patternType="solid">
        <fgColor rgb="FFE8EDF2"/>
        <bgColor rgb="FFEBF3FB"/>
      </patternFill>
    </fill>
    <fill>
      <patternFill patternType="solid">
        <fgColor rgb="FFD6E4F0"/>
        <bgColor rgb="FFD9D9D9"/>
      </patternFill>
    </fill>
    <fill>
      <patternFill patternType="solid">
        <fgColor rgb="FFF5F0FA"/>
        <bgColor rgb="FFF3F6FA"/>
      </patternFill>
    </fill>
    <fill>
      <patternFill patternType="solid">
        <fgColor rgb="FFEBF3FB"/>
        <bgColor rgb="FFF3F6FA"/>
      </patternFill>
    </fill>
    <fill>
      <patternFill patternType="solid">
        <fgColor rgb="FFB85C38"/>
        <bgColor rgb="FFE07055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85C38"/>
      </bottom>
      <diagonal/>
    </border>
    <border diagonalUp="false" diagonalDown="false">
      <left/>
      <right/>
      <top/>
      <bottom style="thin">
        <color rgb="FFB85C38"/>
      </bottom>
      <diagonal/>
    </border>
    <border diagonalUp="false" diagonalDown="false">
      <left/>
      <right/>
      <top/>
      <bottom style="thin">
        <color rgb="FFE0D8CE"/>
      </bottom>
      <diagonal/>
    </border>
    <border diagonalUp="false" diagonalDown="false">
      <left/>
      <right/>
      <top style="thin">
        <color rgb="FFE0D8CE"/>
      </top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medium">
        <color rgb="FF888888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B85C38"/>
      </left>
      <right style="medium">
        <color rgb="FFB85C38"/>
      </right>
      <top style="medium">
        <color rgb="FFB85C38"/>
      </top>
      <bottom style="medium">
        <color rgb="FFB85C38"/>
      </bottom>
      <diagonal/>
    </border>
    <border diagonalUp="false" diagonalDown="false">
      <left style="medium">
        <color rgb="FFB85C38"/>
      </left>
      <right style="thin">
        <color rgb="FFE0D8CE"/>
      </right>
      <top/>
      <bottom style="thin">
        <color rgb="FFE0D8CE"/>
      </bottom>
      <diagonal/>
    </border>
    <border diagonalUp="false" diagonalDown="false">
      <left/>
      <right style="thin">
        <color rgb="FFB85C38"/>
      </right>
      <top/>
      <bottom style="thin">
        <color rgb="FFE0D8CE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1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4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3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5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5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5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5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55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55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55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6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6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6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5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5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5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5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55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55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8" fontId="55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5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6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9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62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5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5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6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5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5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5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6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6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6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55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6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55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55" fillId="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6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6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6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9" fontId="6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6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6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6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6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6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3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3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6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3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2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6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63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6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63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63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6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6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5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5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5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1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13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3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66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66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3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6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66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66" fillId="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6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3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6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66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66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6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5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3" fillId="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66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66" fillId="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4" fillId="1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9" fontId="72" fillId="13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72" fillId="1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6" fillId="14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4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4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6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1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1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7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0" fontId="7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6" fillId="1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ont>
        <color rgb="FFFFFFFF"/>
      </font>
    </dxf>
    <dxf>
      <font>
        <name val="Arial"/>
        <charset val="1"/>
        <family val="0"/>
        <color rgb="FFB85C38"/>
        <sz val="10"/>
      </font>
    </dxf>
    <dxf>
      <font>
        <name val="Arial"/>
        <charset val="1"/>
        <family val="0"/>
        <b val="1"/>
        <color rgb="FFB85C38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0D0D"/>
      <rgbColor rgb="FF8A7E6E"/>
      <rgbColor rgb="FF800080"/>
      <rgbColor rgb="FF156082"/>
      <rgbColor rgb="FFB3B3B3"/>
      <rgbColor rgb="FF888888"/>
      <rgbColor rgb="FF9999FF"/>
      <rgbColor rgb="FFB85C38"/>
      <rgbColor rgb="FFF7F3EC"/>
      <rgbColor rgb="FFEBF3FB"/>
      <rgbColor rgb="FF660066"/>
      <rgbColor rgb="FFE07055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F2"/>
      <rgbColor rgb="FFD6E4F0"/>
      <rgbColor rgb="FFF0EBE3"/>
      <rgbColor rgb="FFF5F0FA"/>
      <rgbColor rgb="FFF7F5F2"/>
      <rgbColor rgb="FFF3F6FA"/>
      <rgbColor rgb="FFE0D8CE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A1814"/>
      <rgbColor rgb="FF6AA87A"/>
      <rgbColor rgb="FF1E1C18"/>
      <rgbColor rgb="FF201E1A"/>
      <rgbColor rgb="FF595959"/>
      <rgbColor rgb="FF5A544A"/>
      <rgbColor rgb="FF4A4238"/>
      <rgbColor rgb="FF2A24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0402347024308"/>
          <c:y val="0.0518809933611999"/>
          <c:w val="0.821668063704946"/>
          <c:h val="0.5751167937054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'Board Overview'!$P$48</c:f>
              <c:strCache>
                <c:ptCount val="1"/>
                <c:pt idx="0">
                  <c:v>Actual ($K)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e07055"/>
              </a:solidFill>
            </a:ln>
          </c:spPr>
          <c:invertIfNegative val="0"/>
          <c:dPt>
            <c:idx val="0"/>
            <c:invertIfNegative val="0"/>
            <c:spPr>
              <a:solidFill>
                <a:srgbClr val="156082"/>
              </a:solidFill>
              <a:ln w="0">
                <a:solidFill>
                  <a:srgbClr val="e07055"/>
                </a:solidFill>
              </a:ln>
            </c:spPr>
          </c:dPt>
          <c:dPt>
            <c:idx val="1"/>
            <c:invertIfNegative val="0"/>
            <c:spPr>
              <a:solidFill>
                <a:srgbClr val="156082"/>
              </a:solidFill>
              <a:ln w="0">
                <a:solidFill>
                  <a:srgbClr val="e07055"/>
                </a:solidFill>
              </a:ln>
            </c:spPr>
          </c:dPt>
          <c:dPt>
            <c:idx val="2"/>
            <c:invertIfNegative val="0"/>
            <c:spPr>
              <a:solidFill>
                <a:srgbClr val="156082"/>
              </a:solidFill>
              <a:ln w="0">
                <a:solidFill>
                  <a:srgbClr val="e07055"/>
                </a:solidFill>
              </a:ln>
            </c:spPr>
          </c:dPt>
          <c:dPt>
            <c:idx val="3"/>
            <c:invertIfNegative val="0"/>
            <c:spPr>
              <a:solidFill>
                <a:srgbClr val="156082"/>
              </a:solidFill>
              <a:ln w="0">
                <a:solidFill>
                  <a:srgbClr val="e07055"/>
                </a:solidFill>
              </a:ln>
            </c:spPr>
          </c:dPt>
          <c:dLbls>
            <c:numFmt formatCode="#,##0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0ebe3"/>
                      </a:solidFill>
                      <a:latin typeface="Calibri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0ebe3"/>
                      </a:solidFill>
                      <a:latin typeface="Calibri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0ebe3"/>
                      </a:solidFill>
                      <a:latin typeface="Calibri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0ebe3"/>
                      </a:solidFill>
                      <a:latin typeface="Calibri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0ebe3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'Board Overview'!$O$50:$O$53</c:f>
              <c:strCache>
                <c:ptCount val="4"/>
                <c:pt idx="0">
                  <c:v>+ New ARR</c:v>
                </c:pt>
                <c:pt idx="1">
                  <c:v>+ Expansion</c:v>
                </c:pt>
                <c:pt idx="2">
                  <c:v>- Downsell</c:v>
                </c:pt>
                <c:pt idx="3">
                  <c:v>- Gross Churn</c:v>
                </c:pt>
              </c:strCache>
            </c:strRef>
          </c:cat>
          <c:val>
            <c:numRef>
              <c:f>'Board Overview'!$P$50:$P$53</c:f>
              <c:numCache>
                <c:formatCode>#,##0;\(#,##0\);\-</c:formatCode>
                <c:ptCount val="4"/>
                <c:pt idx="0">
                  <c:v>4627.31</c:v>
                </c:pt>
                <c:pt idx="1">
                  <c:v>477.84</c:v>
                </c:pt>
                <c:pt idx="2">
                  <c:v>-134.84</c:v>
                </c:pt>
                <c:pt idx="3">
                  <c:v>-330.31</c:v>
                </c:pt>
              </c:numCache>
            </c:numRef>
          </c:val>
        </c:ser>
        <c:ser>
          <c:idx val="1"/>
          <c:order val="1"/>
          <c:tx>
            <c:strRef>
              <c:f>'Board Overview'!$Q$48</c:f>
              <c:strCache>
                <c:ptCount val="1"/>
                <c:pt idx="0">
                  <c:v>Budget ($K)</c:v>
                </c:pt>
              </c:strCache>
            </c:strRef>
          </c:tx>
          <c:spPr>
            <a:solidFill>
              <a:srgbClr val="6aa87a"/>
            </a:solidFill>
            <a:ln w="0">
              <a:solidFill>
                <a:srgbClr val="6aa87a"/>
              </a:solidFill>
            </a:ln>
          </c:spPr>
          <c:invertIfNegative val="0"/>
          <c:dPt>
            <c:idx val="1"/>
            <c:invertIfNegative val="0"/>
            <c:spPr>
              <a:solidFill>
                <a:srgbClr val="6aa87a"/>
              </a:solidFill>
              <a:ln w="0">
                <a:solidFill>
                  <a:srgbClr val="6aa87a"/>
                </a:solidFill>
              </a:ln>
            </c:spPr>
          </c:dPt>
          <c:dPt>
            <c:idx val="2"/>
            <c:invertIfNegative val="0"/>
            <c:spPr>
              <a:solidFill>
                <a:srgbClr val="6aa87a"/>
              </a:solidFill>
              <a:ln w="0">
                <a:solidFill>
                  <a:srgbClr val="6aa87a"/>
                </a:solidFill>
              </a:ln>
            </c:spPr>
          </c:dPt>
          <c:dPt>
            <c:idx val="3"/>
            <c:invertIfNegative val="0"/>
            <c:spPr>
              <a:solidFill>
                <a:srgbClr val="6aa87a"/>
              </a:solidFill>
              <a:ln w="0">
                <a:solidFill>
                  <a:srgbClr val="6aa87a"/>
                </a:solidFill>
              </a:ln>
            </c:spPr>
          </c:dPt>
          <c:dLbls>
            <c:numFmt formatCode="#,##0" sourceLinked="1"/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0ebe3"/>
                      </a:solidFill>
                      <a:latin typeface="Calibri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0ebe3"/>
                      </a:solidFill>
                      <a:latin typeface="Calibri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0ebe3"/>
                      </a:solidFill>
                      <a:latin typeface="Calibri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0ebe3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'Board Overview'!$O$50:$O$53</c:f>
              <c:strCache>
                <c:ptCount val="4"/>
                <c:pt idx="0">
                  <c:v>+ New ARR</c:v>
                </c:pt>
                <c:pt idx="1">
                  <c:v>+ Expansion</c:v>
                </c:pt>
                <c:pt idx="2">
                  <c:v>- Downsell</c:v>
                </c:pt>
                <c:pt idx="3">
                  <c:v>- Gross Churn</c:v>
                </c:pt>
              </c:strCache>
            </c:strRef>
          </c:cat>
          <c:val>
            <c:numRef>
              <c:f>'Board Overview'!$Q$50:$Q$53</c:f>
              <c:numCache>
                <c:formatCode>#,##0;\(#,##0\);\-</c:formatCode>
                <c:ptCount val="4"/>
                <c:pt idx="0">
                  <c:v>6770.4</c:v>
                </c:pt>
                <c:pt idx="1">
                  <c:v>574</c:v>
                </c:pt>
                <c:pt idx="2">
                  <c:v>-114.8</c:v>
                </c:pt>
                <c:pt idx="3">
                  <c:v>-229.6</c:v>
                </c:pt>
              </c:numCache>
            </c:numRef>
          </c:val>
        </c:ser>
        <c:gapWidth val="219"/>
        <c:overlap val="-27"/>
        <c:axId val="95566846"/>
        <c:axId val="33372226"/>
      </c:barChart>
      <c:catAx>
        <c:axId val="955668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f0ebe3"/>
                </a:solidFill>
                <a:latin typeface="Calibri"/>
                <a:ea typeface="Calibri"/>
              </a:defRPr>
            </a:pPr>
          </a:p>
        </c:txPr>
        <c:crossAx val="33372226"/>
        <c:crosses val="autoZero"/>
        <c:auto val="1"/>
        <c:lblAlgn val="ctr"/>
        <c:lblOffset val="100"/>
        <c:noMultiLvlLbl val="0"/>
      </c:catAx>
      <c:valAx>
        <c:axId val="3337222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f0ebe3"/>
                </a:solidFill>
                <a:latin typeface="Calibri"/>
                <a:ea typeface="Calibri"/>
              </a:defRPr>
            </a:pPr>
          </a:p>
        </c:txPr>
        <c:crossAx val="95566846"/>
        <c:crosses val="autoZero"/>
        <c:crossBetween val="between"/>
        <c:dispUnits>
          <c:builtInUnit val="millions"/>
          <c:dispUnitsLbl/>
        </c:dispUnits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31909952936735"/>
          <c:y val="0.83178947226963"/>
          <c:w val="0.41735864625907"/>
          <c:h val="0.13542992492564"/>
        </c:manualLayout>
      </c:layout>
      <c:overlay val="0"/>
      <c:spPr>
        <a:solidFill>
          <a:srgbClr val="1a1814"/>
        </a:solidFill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f0ebe3"/>
              </a:solidFill>
              <a:latin typeface="Calibri"/>
              <a:ea typeface="Calibri"/>
            </a:defRPr>
          </a:pPr>
        </a:p>
      </c:txPr>
    </c:legend>
    <c:plotVisOnly val="0"/>
    <c:dispBlanksAs val="gap"/>
  </c:chart>
  <c:spPr>
    <a:solidFill>
      <a:srgbClr val="1a1814"/>
    </a:solidFill>
    <a:ln w="255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56082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6aa87a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  <a:ea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'Board Overview'!$P$42:$Q$42</c:f>
              <c:strCache>
                <c:ptCount val="2"/>
                <c:pt idx="0">
                  <c:v>Actual</c:v>
                </c:pt>
                <c:pt idx="1">
                  <c:v>Budget</c:v>
                </c:pt>
              </c:strCache>
            </c:strRef>
          </c:cat>
          <c:val>
            <c:numRef>
              <c:f>'Board Overview'!$P$43:$Q$43</c:f>
              <c:numCache>
                <c:formatCode>_(* #,##0_);_(* \(#,##0\);_(* \-??_);_(@_)</c:formatCode>
                <c:ptCount val="2"/>
                <c:pt idx="0">
                  <c:v>6946.76</c:v>
                </c:pt>
                <c:pt idx="1">
                  <c:v>7211.73</c:v>
                </c:pt>
              </c:numCache>
            </c:numRef>
          </c:val>
        </c:ser>
        <c:gapWidth val="219"/>
        <c:overlap val="-27"/>
        <c:axId val="54320314"/>
        <c:axId val="31913544"/>
      </c:barChart>
      <c:lineChart>
        <c:grouping val="standard"/>
        <c:varyColors val="0"/>
        <c:ser>
          <c:idx val="1"/>
          <c:order val="1"/>
          <c:tx>
            <c:strRef>
              <c:f>'Board Overview'!$O$44</c:f>
              <c:strCache>
                <c:ptCount val="1"/>
                <c:pt idx="0">
                  <c:v>GM %</c:v>
                </c:pt>
              </c:strCache>
            </c:strRef>
          </c:tx>
          <c:spPr>
            <a:solidFill>
              <a:srgbClr val="b85c38"/>
            </a:solidFill>
            <a:ln cap="rnd" w="28440">
              <a:solidFill>
                <a:srgbClr val="b85c38"/>
              </a:solidFill>
              <a:round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Lbls>
            <c:numFmt formatCode="0.0%" sourceLinked="1"/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0ebe3"/>
                      </a:solidFill>
                      <a:latin typeface="Calibri"/>
                      <a:ea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0ebe3"/>
                      </a:solidFill>
                      <a:latin typeface="Calibri"/>
                      <a:ea typeface="Calibri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0ebe3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'Board Overview'!$P$42:$Q$42</c:f>
              <c:strCache>
                <c:ptCount val="2"/>
                <c:pt idx="0">
                  <c:v>Actual</c:v>
                </c:pt>
                <c:pt idx="1">
                  <c:v>Budget</c:v>
                </c:pt>
              </c:strCache>
            </c:strRef>
          </c:cat>
          <c:val>
            <c:numRef>
              <c:f>'Board Overview'!$P$44:$Q$44</c:f>
              <c:numCache>
                <c:formatCode>0.0%</c:formatCode>
                <c:ptCount val="2"/>
                <c:pt idx="0">
                  <c:v>0.826393887222245</c:v>
                </c:pt>
                <c:pt idx="1">
                  <c:v>0.827530980777151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27892"/>
        <c:axId val="45297032"/>
      </c:lineChart>
      <c:catAx>
        <c:axId val="543203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f0ebe3"/>
                </a:solidFill>
                <a:latin typeface="Calibri"/>
                <a:ea typeface="Calibri"/>
              </a:defRPr>
            </a:pPr>
          </a:p>
        </c:txPr>
        <c:crossAx val="31913544"/>
        <c:crosses val="autoZero"/>
        <c:auto val="1"/>
        <c:lblAlgn val="ctr"/>
        <c:lblOffset val="100"/>
        <c:noMultiLvlLbl val="0"/>
      </c:catAx>
      <c:valAx>
        <c:axId val="3191354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f0ebe3"/>
                </a:solidFill>
                <a:latin typeface="Calibri"/>
                <a:ea typeface="Calibri"/>
              </a:defRPr>
            </a:pPr>
          </a:p>
        </c:txPr>
        <c:crossAx val="54320314"/>
        <c:crosses val="autoZero"/>
        <c:crossBetween val="between"/>
        <c:dispUnits>
          <c:builtInUnit val="millions"/>
          <c:dispUnitsLbl/>
        </c:dispUnits>
      </c:valAx>
      <c:catAx>
        <c:axId val="142789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5297032"/>
        <c:auto val="1"/>
        <c:lblAlgn val="ctr"/>
        <c:lblOffset val="100"/>
        <c:noMultiLvlLbl val="0"/>
      </c:catAx>
      <c:valAx>
        <c:axId val="4529703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f0ebe3"/>
                </a:solidFill>
                <a:latin typeface="Calibri"/>
                <a:ea typeface="Calibri"/>
              </a:defRPr>
            </a:pPr>
          </a:p>
        </c:txPr>
        <c:crossAx val="1427892"/>
        <c:crosses val="max"/>
        <c:crossBetween val="between"/>
      </c:valAx>
      <c:spPr>
        <a:noFill/>
        <a:ln w="0">
          <a:noFill/>
        </a:ln>
      </c:spPr>
    </c:plotArea>
    <c:legend>
      <c:legendPos val="b"/>
      <c:legendEntry>
        <c:idx val="0"/>
        <c:delete val="1"/>
      </c:legendEntry>
      <c:overlay val="0"/>
      <c:spPr>
        <a:solidFill>
          <a:srgbClr val="1a1814"/>
        </a:solidFill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f0ebe3"/>
              </a:solidFill>
              <a:latin typeface="Calibri"/>
              <a:ea typeface="Calibri"/>
            </a:defRPr>
          </a:pPr>
        </a:p>
      </c:txPr>
    </c:legend>
    <c:plotVisOnly val="0"/>
    <c:dispBlanksAs val="gap"/>
  </c:chart>
  <c:spPr>
    <a:solidFill>
      <a:srgbClr val="1a1814"/>
    </a:solidFill>
    <a:ln w="255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84600</xdr:colOff>
      <xdr:row>29</xdr:row>
      <xdr:rowOff>207360</xdr:rowOff>
    </xdr:from>
    <xdr:to>
      <xdr:col>6</xdr:col>
      <xdr:colOff>1023120</xdr:colOff>
      <xdr:row>32</xdr:row>
      <xdr:rowOff>394920</xdr:rowOff>
    </xdr:to>
    <xdr:graphicFrame>
      <xdr:nvGraphicFramePr>
        <xdr:cNvPr id="0" name="Chart 1"/>
        <xdr:cNvGraphicFramePr/>
      </xdr:nvGraphicFramePr>
      <xdr:xfrm>
        <a:off x="84600" y="6579720"/>
        <a:ext cx="3435480" cy="1463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1228680</xdr:colOff>
      <xdr:row>29</xdr:row>
      <xdr:rowOff>176040</xdr:rowOff>
    </xdr:from>
    <xdr:to>
      <xdr:col>13</xdr:col>
      <xdr:colOff>258120</xdr:colOff>
      <xdr:row>32</xdr:row>
      <xdr:rowOff>280080</xdr:rowOff>
    </xdr:to>
    <xdr:graphicFrame>
      <xdr:nvGraphicFramePr>
        <xdr:cNvPr id="1" name="Chart 2"/>
        <xdr:cNvGraphicFramePr/>
      </xdr:nvGraphicFramePr>
      <xdr:xfrm>
        <a:off x="3725640" y="6548400"/>
        <a:ext cx="3147120" cy="1380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814"/>
    <pageSetUpPr fitToPage="false"/>
  </sheetPr>
  <dimension ref="A1:J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8.00390625" defaultRowHeight="12" zeroHeight="false" outlineLevelRow="1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52.29"/>
    <col collapsed="false" customWidth="false" hidden="false" outlineLevel="0" max="16384" min="5" style="1" width="38"/>
  </cols>
  <sheetData>
    <row r="1" customFormat="false" ht="19.5" hidden="false" customHeight="true" outlineLevel="0" collapsed="false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</row>
    <row r="2" customFormat="false" ht="13.5" hidden="false" customHeight="true" outlineLevel="0" collapsed="false">
      <c r="A2" s="2"/>
      <c r="B2" s="4"/>
      <c r="C2" s="2"/>
      <c r="D2" s="2"/>
      <c r="E2" s="2"/>
      <c r="F2" s="2"/>
      <c r="G2" s="2"/>
      <c r="H2" s="2"/>
      <c r="I2" s="2"/>
      <c r="J2" s="2"/>
    </row>
    <row r="3" customFormat="false" ht="12" hidden="false" customHeight="true" outlineLevel="0" collapsed="false">
      <c r="A3" s="2"/>
      <c r="B3" s="5" t="s">
        <v>1</v>
      </c>
      <c r="C3" s="2"/>
      <c r="D3" s="2"/>
      <c r="E3" s="2"/>
      <c r="F3" s="2"/>
      <c r="G3" s="2"/>
      <c r="H3" s="2"/>
      <c r="I3" s="2"/>
      <c r="J3" s="2"/>
    </row>
    <row r="4" customFormat="false" ht="7.5" hidden="false" customHeight="true" outlineLevel="0" collapsed="false">
      <c r="A4" s="2"/>
      <c r="B4" s="6"/>
      <c r="C4" s="6"/>
      <c r="D4" s="6"/>
      <c r="E4" s="6"/>
      <c r="F4" s="2"/>
      <c r="G4" s="2"/>
      <c r="H4" s="2"/>
      <c r="I4" s="2"/>
      <c r="J4" s="2"/>
    </row>
    <row r="5" customFormat="false" ht="7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6" customFormat="false" ht="12" hidden="false" customHeight="true" outlineLevel="0" collapsed="false">
      <c r="A6" s="2"/>
      <c r="B6" s="7" t="s">
        <v>2</v>
      </c>
      <c r="C6" s="2"/>
      <c r="D6" s="2"/>
      <c r="E6" s="2"/>
      <c r="F6" s="2"/>
      <c r="G6" s="2"/>
      <c r="H6" s="2"/>
      <c r="I6" s="2"/>
      <c r="J6" s="2"/>
    </row>
    <row r="7" customFormat="false" ht="15.75" hidden="false" customHeight="true" outlineLevel="0" collapsed="false">
      <c r="A7" s="2"/>
      <c r="B7" s="8" t="s">
        <v>3</v>
      </c>
      <c r="C7" s="8" t="s">
        <v>4</v>
      </c>
      <c r="D7" s="8" t="s">
        <v>5</v>
      </c>
      <c r="E7" s="8" t="s">
        <v>6</v>
      </c>
      <c r="F7" s="2"/>
      <c r="G7" s="2"/>
      <c r="H7" s="2"/>
      <c r="I7" s="2"/>
      <c r="J7" s="2"/>
    </row>
    <row r="8" customFormat="false" ht="15" hidden="false" customHeight="true" outlineLevel="0" collapsed="false">
      <c r="A8" s="2"/>
      <c r="B8" s="9" t="str">
        <f aca="false">HYPERLINK("#Cover Page!A1","Cover Page")</f>
        <v>Cover Page</v>
      </c>
      <c r="C8" s="10" t="s">
        <v>7</v>
      </c>
      <c r="D8" s="10" t="s">
        <v>8</v>
      </c>
      <c r="E8" s="10" t="s">
        <v>9</v>
      </c>
      <c r="F8" s="2"/>
      <c r="G8" s="2"/>
      <c r="H8" s="2"/>
      <c r="I8" s="2"/>
      <c r="J8" s="2"/>
    </row>
    <row r="9" customFormat="false" ht="15" hidden="false" customHeight="true" outlineLevel="0" collapsed="false">
      <c r="A9" s="2"/>
      <c r="B9" s="9" t="str">
        <f aca="false">HYPERLINK("#Board Overview!A1","Board Overview")</f>
        <v>Board Overview</v>
      </c>
      <c r="C9" s="10" t="s">
        <v>10</v>
      </c>
      <c r="D9" s="10" t="s">
        <v>11</v>
      </c>
      <c r="E9" s="11" t="s">
        <v>12</v>
      </c>
      <c r="F9" s="2"/>
      <c r="G9" s="2"/>
      <c r="H9" s="2"/>
      <c r="I9" s="2"/>
      <c r="J9" s="2"/>
    </row>
    <row r="10" customFormat="false" ht="15" hidden="false" customHeight="true" outlineLevel="0" collapsed="false">
      <c r="A10" s="2"/>
      <c r="B10" s="9" t="str">
        <f aca="false">HYPERLINK("#P&amp;L — Quarter Outlook!A1","P&amp;L — Quarter Outlook")</f>
        <v>P&amp;L — Quarter Outlook</v>
      </c>
      <c r="C10" s="10" t="s">
        <v>10</v>
      </c>
      <c r="D10" s="10" t="s">
        <v>13</v>
      </c>
      <c r="E10" s="11" t="s">
        <v>12</v>
      </c>
      <c r="F10" s="2"/>
      <c r="G10" s="2"/>
      <c r="H10" s="2"/>
      <c r="I10" s="2"/>
      <c r="J10" s="2"/>
    </row>
    <row r="11" customFormat="false" ht="15" hidden="false" customHeight="true" outlineLevel="0" collapsed="false">
      <c r="A11" s="2"/>
      <c r="B11" s="9" t="str">
        <f aca="false">HYPERLINK("#ARR — Quarter Outlook!A1","ARR — Quarter Outlook")</f>
        <v>ARR — Quarter Outlook</v>
      </c>
      <c r="C11" s="10" t="s">
        <v>10</v>
      </c>
      <c r="D11" s="10" t="s">
        <v>14</v>
      </c>
      <c r="E11" s="11" t="s">
        <v>12</v>
      </c>
      <c r="F11" s="2"/>
      <c r="G11" s="2"/>
      <c r="H11" s="2"/>
      <c r="I11" s="2"/>
      <c r="J11" s="2"/>
    </row>
    <row r="12" customFormat="false" ht="15" hidden="false" customHeight="true" outlineLevel="0" collapsed="false">
      <c r="A12" s="2"/>
      <c r="B12" s="9" t="str">
        <f aca="false">HYPERLINK("#P&amp;L — Full Year!A1","P&amp;L — Full Year")</f>
        <v>P&amp;L — Full Year</v>
      </c>
      <c r="C12" s="10" t="s">
        <v>10</v>
      </c>
      <c r="D12" s="10" t="s">
        <v>15</v>
      </c>
      <c r="E12" s="11" t="s">
        <v>12</v>
      </c>
      <c r="F12" s="2"/>
      <c r="G12" s="2"/>
      <c r="H12" s="2"/>
      <c r="I12" s="2"/>
      <c r="J12" s="2"/>
    </row>
    <row r="13" customFormat="false" ht="15" hidden="false" customHeight="true" outlineLevel="0" collapsed="false">
      <c r="A13" s="2"/>
      <c r="B13" s="9" t="str">
        <f aca="false">HYPERLINK("#ARR — Full Year!A1","ARR — Full Year")</f>
        <v>ARR — Full Year</v>
      </c>
      <c r="C13" s="10" t="s">
        <v>10</v>
      </c>
      <c r="D13" s="10" t="s">
        <v>16</v>
      </c>
      <c r="E13" s="11" t="s">
        <v>12</v>
      </c>
      <c r="F13" s="2"/>
      <c r="G13" s="2"/>
      <c r="H13" s="2"/>
      <c r="I13" s="2"/>
      <c r="J13" s="2"/>
    </row>
    <row r="14" customFormat="false" ht="15" hidden="false" customHeight="true" outlineLevel="0" collapsed="false">
      <c r="A14" s="2"/>
      <c r="B14" s="9" t="str">
        <f aca="false">HYPERLINK("#Variance Analysis!A1","Variance Analysis")</f>
        <v>Variance Analysis</v>
      </c>
      <c r="C14" s="10" t="s">
        <v>17</v>
      </c>
      <c r="D14" s="10" t="s">
        <v>18</v>
      </c>
      <c r="E14" s="10" t="s">
        <v>19</v>
      </c>
      <c r="F14" s="2"/>
      <c r="G14" s="2"/>
      <c r="H14" s="2"/>
      <c r="I14" s="2"/>
      <c r="J14" s="2"/>
    </row>
    <row r="15" customFormat="false" ht="15" hidden="false" customHeight="true" outlineLevel="0" collapsed="false">
      <c r="A15" s="2"/>
      <c r="B15" s="9" t="str">
        <f aca="false">HYPERLINK("#P&amp;L — QTD Results!A1","P&amp;L — QTD Results")</f>
        <v>P&amp;L — QTD Results</v>
      </c>
      <c r="C15" s="10" t="s">
        <v>17</v>
      </c>
      <c r="D15" s="10" t="s">
        <v>20</v>
      </c>
      <c r="E15" s="10" t="s">
        <v>19</v>
      </c>
      <c r="F15" s="2"/>
      <c r="G15" s="2"/>
      <c r="H15" s="2"/>
      <c r="I15" s="2"/>
      <c r="J15" s="2"/>
    </row>
    <row r="16" customFormat="false" ht="15" hidden="false" customHeight="true" outlineLevel="0" collapsed="false">
      <c r="A16" s="2"/>
      <c r="B16" s="9" t="str">
        <f aca="false">HYPERLINK("#ARR — QTD Results!A1","ARR — QTD Results")</f>
        <v>ARR — QTD Results</v>
      </c>
      <c r="C16" s="10" t="s">
        <v>17</v>
      </c>
      <c r="D16" s="10" t="s">
        <v>21</v>
      </c>
      <c r="E16" s="10" t="s">
        <v>19</v>
      </c>
      <c r="F16" s="2"/>
      <c r="G16" s="2"/>
      <c r="H16" s="2"/>
      <c r="I16" s="2"/>
      <c r="J16" s="2"/>
    </row>
    <row r="17" customFormat="false" ht="15" hidden="false" customHeight="true" outlineLevel="0" collapsed="false">
      <c r="A17" s="2"/>
      <c r="B17" s="9" t="str">
        <f aca="false">HYPERLINK("#Natural Expense!A1","Natural Expense")</f>
        <v>Natural Expense</v>
      </c>
      <c r="C17" s="10" t="s">
        <v>17</v>
      </c>
      <c r="D17" s="10" t="s">
        <v>22</v>
      </c>
      <c r="E17" s="10" t="s">
        <v>19</v>
      </c>
      <c r="F17" s="2"/>
      <c r="G17" s="2"/>
      <c r="H17" s="2"/>
      <c r="I17" s="2"/>
      <c r="J17" s="2"/>
    </row>
    <row r="18" customFormat="false" ht="15" hidden="false" customHeight="true" outlineLevel="0" collapsed="false">
      <c r="A18" s="2"/>
      <c r="B18" s="9" t="str">
        <f aca="false">HYPERLINK("#P&amp;L Monthly!A1","P&amp;L Monthly")</f>
        <v>P&amp;L Monthly</v>
      </c>
      <c r="C18" s="10" t="s">
        <v>17</v>
      </c>
      <c r="D18" s="10" t="s">
        <v>23</v>
      </c>
      <c r="E18" s="10" t="s">
        <v>19</v>
      </c>
      <c r="F18" s="2"/>
      <c r="G18" s="2"/>
      <c r="H18" s="2"/>
      <c r="I18" s="2"/>
      <c r="J18" s="2"/>
    </row>
    <row r="19" customFormat="false" ht="15" hidden="false" customHeight="true" outlineLevel="0" collapsed="false">
      <c r="A19" s="2"/>
      <c r="B19" s="9" t="str">
        <f aca="false">HYPERLINK("#ARR Monthly!A1","ARR Monthly")</f>
        <v>ARR Monthly</v>
      </c>
      <c r="C19" s="10" t="s">
        <v>17</v>
      </c>
      <c r="D19" s="10" t="s">
        <v>24</v>
      </c>
      <c r="E19" s="10" t="s">
        <v>19</v>
      </c>
      <c r="F19" s="2"/>
      <c r="G19" s="2"/>
      <c r="H19" s="2"/>
      <c r="I19" s="2"/>
      <c r="J19" s="2"/>
    </row>
    <row r="20" customFormat="false" ht="15" hidden="false" customHeight="true" outlineLevel="0" collapsed="false">
      <c r="A20" s="2"/>
      <c r="B20" s="9" t="str">
        <f aca="false">HYPERLINK("#Forecast Inputs!A1","Forecast Inputs")</f>
        <v>Forecast Inputs</v>
      </c>
      <c r="C20" s="10" t="s">
        <v>25</v>
      </c>
      <c r="D20" s="10" t="s">
        <v>26</v>
      </c>
      <c r="E20" s="12" t="s">
        <v>27</v>
      </c>
      <c r="F20" s="2"/>
      <c r="G20" s="2"/>
      <c r="H20" s="2"/>
      <c r="I20" s="2"/>
      <c r="J20" s="2"/>
    </row>
    <row r="21" customFormat="false" ht="15" hidden="false" customHeight="true" outlineLevel="0" collapsed="false">
      <c r="A21" s="2"/>
      <c r="B21" s="9" t="str">
        <f aca="false">HYPERLINK("#Company Roster!A1","Company Roster")</f>
        <v>Company Roster</v>
      </c>
      <c r="C21" s="10" t="s">
        <v>28</v>
      </c>
      <c r="D21" s="10" t="s">
        <v>29</v>
      </c>
      <c r="E21" s="10" t="s">
        <v>19</v>
      </c>
      <c r="F21" s="2"/>
      <c r="G21" s="2"/>
      <c r="H21" s="2"/>
      <c r="I21" s="2"/>
      <c r="J21" s="2"/>
    </row>
    <row r="22" customFormat="false" ht="15" hidden="false" customHeight="true" outlineLevel="0" collapsed="false">
      <c r="A22" s="2"/>
      <c r="B22" s="9" t="s">
        <v>30</v>
      </c>
      <c r="C22" s="10" t="s">
        <v>31</v>
      </c>
      <c r="D22" s="10" t="s">
        <v>32</v>
      </c>
      <c r="E22" s="10" t="s">
        <v>19</v>
      </c>
      <c r="F22" s="2"/>
      <c r="G22" s="2"/>
      <c r="H22" s="2"/>
      <c r="I22" s="2"/>
      <c r="J22" s="2"/>
    </row>
    <row r="23" customFormat="false" ht="12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7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customFormat="false" ht="12" hidden="true" customHeight="true" outlineLevel="1" collapsed="false">
      <c r="A25" s="2"/>
      <c r="B25" s="13" t="s">
        <v>33</v>
      </c>
      <c r="C25" s="14"/>
      <c r="D25" s="14"/>
      <c r="E25" s="2"/>
      <c r="F25" s="2"/>
      <c r="G25" s="2"/>
      <c r="H25" s="2"/>
      <c r="I25" s="2"/>
      <c r="J25" s="2"/>
    </row>
    <row r="26" customFormat="false" ht="15.75" hidden="true" customHeight="true" outlineLevel="1" collapsed="false">
      <c r="A26" s="15" t="s">
        <v>34</v>
      </c>
      <c r="B26" s="11" t="s">
        <v>35</v>
      </c>
      <c r="C26" s="16" t="s">
        <v>36</v>
      </c>
      <c r="D26" s="16"/>
      <c r="E26" s="16"/>
      <c r="F26" s="2"/>
      <c r="G26" s="2"/>
      <c r="H26" s="2"/>
      <c r="I26" s="2"/>
      <c r="J26" s="2"/>
    </row>
    <row r="27" customFormat="false" ht="15.75" hidden="true" customHeight="true" outlineLevel="1" collapsed="false">
      <c r="A27" s="15" t="s">
        <v>34</v>
      </c>
      <c r="B27" s="11" t="s">
        <v>37</v>
      </c>
      <c r="C27" s="16" t="s">
        <v>38</v>
      </c>
      <c r="D27" s="16"/>
      <c r="E27" s="16"/>
      <c r="F27" s="2"/>
      <c r="G27" s="2"/>
      <c r="H27" s="2"/>
      <c r="I27" s="2"/>
      <c r="J27" s="2"/>
    </row>
    <row r="28" customFormat="false" ht="15.75" hidden="true" customHeight="true" outlineLevel="1" collapsed="false">
      <c r="A28" s="15" t="s">
        <v>34</v>
      </c>
      <c r="B28" s="11" t="s">
        <v>39</v>
      </c>
      <c r="C28" s="16" t="s">
        <v>40</v>
      </c>
      <c r="D28" s="16"/>
      <c r="E28" s="16"/>
      <c r="F28" s="2"/>
      <c r="G28" s="2"/>
      <c r="H28" s="2"/>
      <c r="I28" s="2"/>
      <c r="J28" s="2"/>
    </row>
    <row r="29" customFormat="false" ht="15.75" hidden="true" customHeight="true" outlineLevel="1" collapsed="false">
      <c r="A29" s="15" t="s">
        <v>34</v>
      </c>
      <c r="B29" s="11" t="s">
        <v>41</v>
      </c>
      <c r="C29" s="16" t="s">
        <v>42</v>
      </c>
      <c r="D29" s="16"/>
      <c r="E29" s="16"/>
      <c r="F29" s="2"/>
      <c r="G29" s="2"/>
      <c r="H29" s="2"/>
      <c r="I29" s="2"/>
      <c r="J29" s="2"/>
    </row>
    <row r="30" customFormat="false" ht="15.75" hidden="true" customHeight="true" outlineLevel="1" collapsed="false">
      <c r="A30" s="15" t="s">
        <v>34</v>
      </c>
      <c r="B30" s="11" t="s">
        <v>43</v>
      </c>
      <c r="C30" s="16" t="s">
        <v>44</v>
      </c>
      <c r="D30" s="16"/>
      <c r="E30" s="16"/>
      <c r="F30" s="2"/>
      <c r="G30" s="2"/>
      <c r="H30" s="2"/>
      <c r="I30" s="2"/>
      <c r="J30" s="2"/>
    </row>
    <row r="31" customFormat="false" ht="15.75" hidden="true" customHeight="true" outlineLevel="1" collapsed="false">
      <c r="A31" s="15" t="s">
        <v>34</v>
      </c>
      <c r="B31" s="11" t="s">
        <v>45</v>
      </c>
      <c r="C31" s="16" t="s">
        <v>46</v>
      </c>
      <c r="D31" s="16"/>
      <c r="E31" s="16"/>
      <c r="F31" s="2"/>
      <c r="G31" s="2"/>
      <c r="H31" s="2"/>
      <c r="I31" s="2"/>
      <c r="J31" s="2"/>
    </row>
    <row r="32" customFormat="false" ht="15.75" hidden="true" customHeight="true" outlineLevel="1" collapsed="false">
      <c r="A32" s="15" t="s">
        <v>34</v>
      </c>
      <c r="B32" s="11" t="s">
        <v>47</v>
      </c>
      <c r="C32" s="16" t="s">
        <v>48</v>
      </c>
      <c r="D32" s="16"/>
      <c r="E32" s="16"/>
      <c r="F32" s="2"/>
      <c r="G32" s="2"/>
      <c r="H32" s="2"/>
      <c r="I32" s="2"/>
      <c r="J32" s="2"/>
    </row>
    <row r="33" customFormat="false" ht="15.75" hidden="true" customHeight="true" outlineLevel="1" collapsed="false">
      <c r="A33" s="15" t="s">
        <v>34</v>
      </c>
      <c r="B33" s="11" t="s">
        <v>49</v>
      </c>
      <c r="C33" s="16" t="s">
        <v>50</v>
      </c>
      <c r="D33" s="16"/>
      <c r="E33" s="16"/>
      <c r="F33" s="2"/>
      <c r="G33" s="2"/>
      <c r="H33" s="2"/>
      <c r="I33" s="2"/>
      <c r="J33" s="2"/>
    </row>
    <row r="34" customFormat="false" ht="15.75" hidden="true" customHeight="true" outlineLevel="1" collapsed="false">
      <c r="A34" s="15" t="s">
        <v>34</v>
      </c>
      <c r="B34" s="11" t="s">
        <v>51</v>
      </c>
      <c r="C34" s="16" t="s">
        <v>52</v>
      </c>
      <c r="D34" s="16"/>
      <c r="E34" s="16"/>
      <c r="F34" s="2"/>
      <c r="G34" s="2"/>
      <c r="H34" s="2"/>
      <c r="I34" s="2"/>
      <c r="J34" s="2"/>
    </row>
    <row r="35" customFormat="false" ht="15.75" hidden="true" customHeight="true" outlineLevel="1" collapsed="false">
      <c r="A35" s="15" t="s">
        <v>34</v>
      </c>
      <c r="B35" s="11" t="s">
        <v>30</v>
      </c>
      <c r="C35" s="16" t="s">
        <v>53</v>
      </c>
      <c r="D35" s="16"/>
      <c r="E35" s="16"/>
      <c r="F35" s="2"/>
      <c r="G35" s="2"/>
      <c r="H35" s="2"/>
      <c r="I35" s="2"/>
      <c r="J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2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2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12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12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12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12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2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2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2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12" hidden="false" customHeight="true" outlineLevel="0" collapsed="false">
      <c r="A49" s="2"/>
      <c r="B49" s="2"/>
      <c r="C49" s="2"/>
      <c r="D49" s="2"/>
      <c r="E49" s="2"/>
      <c r="F49" s="2"/>
      <c r="G49" s="2"/>
      <c r="H49" s="2"/>
    </row>
    <row r="50" customFormat="false" ht="12" hidden="false" customHeight="true" outlineLevel="0" collapsed="false">
      <c r="A50" s="2"/>
      <c r="B50" s="2"/>
      <c r="C50" s="2"/>
      <c r="D50" s="2"/>
      <c r="E50" s="2"/>
      <c r="F50" s="2"/>
      <c r="G50" s="2"/>
      <c r="H50" s="2"/>
    </row>
    <row r="51" customFormat="false" ht="12" hidden="false" customHeight="true" outlineLevel="0" collapsed="false">
      <c r="A51" s="2"/>
      <c r="B51" s="2"/>
      <c r="C51" s="2"/>
      <c r="D51" s="2"/>
      <c r="E51" s="2"/>
      <c r="F51" s="2"/>
      <c r="G51" s="2"/>
      <c r="H51" s="2"/>
    </row>
    <row r="52" customFormat="false" ht="12" hidden="false" customHeight="true" outlineLevel="0" collapsed="false">
      <c r="A52" s="2"/>
      <c r="B52" s="2"/>
      <c r="C52" s="2"/>
      <c r="D52" s="2"/>
      <c r="E52" s="2"/>
      <c r="F52" s="2"/>
      <c r="G52" s="2"/>
      <c r="H52" s="2"/>
    </row>
    <row r="53" customFormat="false" ht="12" hidden="false" customHeight="true" outlineLevel="0" collapsed="false">
      <c r="A53" s="2"/>
      <c r="B53" s="2"/>
      <c r="C53" s="2"/>
      <c r="D53" s="2"/>
      <c r="E53" s="2"/>
      <c r="F53" s="2"/>
      <c r="G53" s="2"/>
      <c r="H53" s="2"/>
    </row>
    <row r="54" customFormat="false" ht="12" hidden="false" customHeight="true" outlineLevel="0" collapsed="false">
      <c r="A54" s="2"/>
      <c r="B54" s="2"/>
      <c r="C54" s="2"/>
      <c r="D54" s="2"/>
      <c r="E54" s="2"/>
      <c r="F54" s="2"/>
      <c r="G54" s="2"/>
      <c r="H54" s="2"/>
    </row>
    <row r="55" customFormat="false" ht="12" hidden="false" customHeight="true" outlineLevel="0" collapsed="false">
      <c r="A55" s="2"/>
      <c r="B55" s="2"/>
      <c r="C55" s="2"/>
      <c r="D55" s="2"/>
      <c r="E55" s="2"/>
      <c r="F55" s="2"/>
      <c r="G55" s="2"/>
      <c r="H55" s="2"/>
    </row>
    <row r="56" customFormat="false" ht="12" hidden="false" customHeight="true" outlineLevel="0" collapsed="false">
      <c r="A56" s="2"/>
      <c r="B56" s="2"/>
      <c r="C56" s="2"/>
      <c r="D56" s="2"/>
      <c r="E56" s="2"/>
      <c r="F56" s="2"/>
      <c r="G56" s="2"/>
      <c r="H56" s="2"/>
    </row>
    <row r="57" customFormat="false" ht="12" hidden="false" customHeight="true" outlineLevel="0" collapsed="false">
      <c r="A57" s="2"/>
      <c r="B57" s="2"/>
      <c r="C57" s="2"/>
      <c r="D57" s="2"/>
      <c r="E57" s="2"/>
      <c r="F57" s="2"/>
      <c r="G57" s="2"/>
      <c r="H57" s="2"/>
    </row>
    <row r="58" customFormat="false" ht="12" hidden="false" customHeight="true" outlineLevel="0" collapsed="false">
      <c r="A58" s="2"/>
      <c r="B58" s="2"/>
      <c r="C58" s="2"/>
      <c r="D58" s="2"/>
      <c r="E58" s="2"/>
      <c r="F58" s="2"/>
      <c r="G58" s="2"/>
      <c r="H58" s="2"/>
    </row>
    <row r="59" customFormat="false" ht="12" hidden="false" customHeight="true" outlineLevel="0" collapsed="false">
      <c r="A59" s="2"/>
      <c r="B59" s="2"/>
      <c r="C59" s="2"/>
      <c r="D59" s="2"/>
      <c r="E59" s="2"/>
      <c r="F59" s="2"/>
      <c r="G59" s="2"/>
      <c r="H59" s="2"/>
    </row>
    <row r="60" customFormat="false" ht="12" hidden="false" customHeight="true" outlineLevel="0" collapsed="false">
      <c r="A60" s="2"/>
      <c r="B60" s="2"/>
      <c r="C60" s="2"/>
      <c r="D60" s="2"/>
      <c r="E60" s="2"/>
      <c r="F60" s="2"/>
      <c r="G60" s="2"/>
      <c r="H60" s="2"/>
    </row>
    <row r="61" customFormat="false" ht="12" hidden="false" customHeight="true" outlineLevel="0" collapsed="false">
      <c r="A61" s="2"/>
      <c r="B61" s="2"/>
      <c r="C61" s="2"/>
      <c r="D61" s="2"/>
      <c r="E61" s="2"/>
      <c r="F61" s="2"/>
      <c r="G61" s="2"/>
      <c r="H61" s="2"/>
    </row>
    <row r="62" customFormat="false" ht="12" hidden="false" customHeight="true" outlineLevel="0" collapsed="false">
      <c r="A62" s="2"/>
      <c r="B62" s="2"/>
      <c r="C62" s="2"/>
      <c r="D62" s="2"/>
      <c r="E62" s="2"/>
      <c r="F62" s="2"/>
      <c r="G62" s="2"/>
      <c r="H62" s="2"/>
    </row>
    <row r="63" customFormat="false" ht="12" hidden="false" customHeight="true" outlineLevel="0" collapsed="false">
      <c r="A63" s="2"/>
      <c r="B63" s="2"/>
      <c r="C63" s="2"/>
      <c r="D63" s="2"/>
      <c r="E63" s="2"/>
      <c r="F63" s="2"/>
      <c r="G63" s="2"/>
      <c r="H63" s="2"/>
    </row>
    <row r="64" customFormat="false" ht="12" hidden="false" customHeight="true" outlineLevel="0" collapsed="false">
      <c r="A64" s="2"/>
      <c r="B64" s="2"/>
      <c r="C64" s="2"/>
      <c r="D64" s="2"/>
      <c r="E64" s="2"/>
      <c r="F64" s="2"/>
      <c r="G64" s="2"/>
      <c r="H64" s="2"/>
    </row>
    <row r="65" customFormat="false" ht="12" hidden="false" customHeight="true" outlineLevel="0" collapsed="false">
      <c r="A65" s="2"/>
      <c r="B65" s="2"/>
      <c r="C65" s="2"/>
      <c r="D65" s="2"/>
      <c r="E65" s="2"/>
      <c r="F65" s="2"/>
      <c r="G65" s="2"/>
      <c r="H65" s="2"/>
    </row>
    <row r="66" customFormat="false" ht="12" hidden="false" customHeight="true" outlineLevel="0" collapsed="false">
      <c r="A66" s="2"/>
      <c r="B66" s="2"/>
      <c r="C66" s="2"/>
      <c r="D66" s="2"/>
      <c r="E66" s="2"/>
      <c r="F66" s="2"/>
      <c r="G66" s="2"/>
      <c r="H66" s="2"/>
    </row>
    <row r="67" customFormat="false" ht="12" hidden="false" customHeight="true" outlineLevel="0" collapsed="false">
      <c r="A67" s="2"/>
      <c r="B67" s="2"/>
      <c r="C67" s="2"/>
      <c r="D67" s="2"/>
      <c r="E67" s="2"/>
      <c r="F67" s="2"/>
      <c r="G67" s="2"/>
      <c r="H67" s="2"/>
    </row>
    <row r="68" customFormat="false" ht="12" hidden="false" customHeight="true" outlineLevel="0" collapsed="false">
      <c r="A68" s="2"/>
      <c r="B68" s="2"/>
      <c r="C68" s="2"/>
      <c r="D68" s="2"/>
      <c r="E68" s="2"/>
      <c r="F68" s="2"/>
      <c r="G68" s="2"/>
      <c r="H68" s="2"/>
    </row>
  </sheetData>
  <mergeCells count="10"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814"/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8.00390625" defaultRowHeight="15" zeroHeight="false" outlineLevelRow="0" outlineLevelCol="0"/>
  <cols>
    <col collapsed="false" customWidth="true" hidden="false" outlineLevel="0" max="1" min="1" style="17" width="4"/>
    <col collapsed="false" customWidth="true" hidden="false" outlineLevel="0" max="2" min="2" style="17" width="14.57"/>
    <col collapsed="false" customWidth="true" hidden="false" outlineLevel="0" max="3" min="3" style="17" width="25.14"/>
    <col collapsed="false" customWidth="true" hidden="false" outlineLevel="0" max="4" min="4" style="17" width="30.29"/>
    <col collapsed="false" customWidth="true" hidden="false" outlineLevel="0" max="5" min="5" style="17" width="25.14"/>
    <col collapsed="false" customWidth="true" hidden="false" outlineLevel="0" max="6" min="6" style="17" width="13.57"/>
    <col collapsed="false" customWidth="false" hidden="false" outlineLevel="0" max="16384" min="7" style="17" width="8"/>
  </cols>
  <sheetData>
    <row r="1" customFormat="false" ht="15" hidden="false" customHeight="true" outlineLevel="0" collapsed="false">
      <c r="A1" s="18" t="s">
        <v>54</v>
      </c>
      <c r="B1" s="19"/>
      <c r="C1" s="19"/>
      <c r="D1" s="19"/>
      <c r="E1" s="19"/>
      <c r="F1" s="19"/>
    </row>
    <row r="2" customFormat="false" ht="15" hidden="false" customHeight="true" outlineLevel="0" collapsed="false">
      <c r="A2" s="19"/>
      <c r="B2" s="20" t="s">
        <v>55</v>
      </c>
      <c r="C2" s="19"/>
      <c r="D2" s="21" t="s">
        <v>56</v>
      </c>
      <c r="E2" s="19"/>
      <c r="F2" s="19"/>
    </row>
    <row r="3" customFormat="false" ht="15" hidden="false" customHeight="true" outlineLevel="0" collapsed="false">
      <c r="A3" s="19"/>
      <c r="B3" s="19"/>
      <c r="C3" s="19"/>
      <c r="D3" s="19"/>
      <c r="E3" s="19"/>
      <c r="F3" s="19"/>
    </row>
    <row r="4" customFormat="false" ht="41.25" hidden="false" customHeight="true" outlineLevel="0" collapsed="false">
      <c r="A4" s="19"/>
      <c r="B4" s="22" t="s">
        <v>57</v>
      </c>
      <c r="C4" s="19"/>
      <c r="D4" s="19"/>
      <c r="E4" s="19"/>
      <c r="F4" s="19"/>
    </row>
    <row r="5" customFormat="false" ht="16.5" hidden="false" customHeight="true" outlineLevel="0" collapsed="false">
      <c r="A5" s="19"/>
      <c r="B5" s="23" t="s">
        <v>58</v>
      </c>
      <c r="C5" s="19"/>
      <c r="D5" s="19"/>
      <c r="E5" s="19"/>
      <c r="F5" s="19"/>
    </row>
    <row r="6" customFormat="false" ht="15" hidden="false" customHeight="true" outlineLevel="0" collapsed="false">
      <c r="A6" s="19"/>
      <c r="B6" s="19"/>
      <c r="C6" s="19"/>
      <c r="D6" s="19"/>
      <c r="E6" s="19"/>
      <c r="F6" s="19"/>
    </row>
    <row r="7" customFormat="false" ht="15" hidden="false" customHeight="true" outlineLevel="0" collapsed="false">
      <c r="A7" s="19"/>
      <c r="B7" s="19"/>
      <c r="C7" s="19"/>
      <c r="D7" s="19"/>
      <c r="E7" s="19"/>
      <c r="F7" s="19"/>
    </row>
    <row r="8" customFormat="false" ht="15" hidden="false" customHeight="true" outlineLevel="0" collapsed="false">
      <c r="A8" s="19"/>
      <c r="B8" s="24"/>
      <c r="C8" s="24"/>
      <c r="D8" s="24"/>
      <c r="E8" s="19"/>
      <c r="F8" s="19"/>
    </row>
    <row r="9" customFormat="false" ht="15" hidden="false" customHeight="true" outlineLevel="0" collapsed="false">
      <c r="A9" s="19"/>
      <c r="B9" s="19" t="s">
        <v>59</v>
      </c>
      <c r="C9" s="19"/>
      <c r="D9" s="19"/>
      <c r="E9" s="19"/>
      <c r="F9" s="19"/>
    </row>
    <row r="10" customFormat="false" ht="15" hidden="false" customHeight="true" outlineLevel="0" collapsed="false">
      <c r="A10" s="19"/>
      <c r="B10" s="25" t="s">
        <v>60</v>
      </c>
      <c r="C10" s="19"/>
      <c r="D10" s="19"/>
      <c r="E10" s="19"/>
      <c r="F10" s="19"/>
    </row>
    <row r="11" customFormat="false" ht="15" hidden="false" customHeight="true" outlineLevel="0" collapsed="false">
      <c r="A11" s="19"/>
      <c r="B11" s="25" t="s">
        <v>61</v>
      </c>
      <c r="C11" s="19"/>
      <c r="D11" s="19"/>
      <c r="E11" s="19"/>
      <c r="F11" s="19"/>
    </row>
    <row r="12" customFormat="false" ht="15" hidden="false" customHeight="true" outlineLevel="0" collapsed="false">
      <c r="A12" s="19"/>
      <c r="B12" s="19"/>
      <c r="C12" s="19"/>
      <c r="D12" s="19"/>
      <c r="E12" s="19"/>
      <c r="F12" s="19"/>
    </row>
    <row r="13" customFormat="false" ht="15" hidden="false" customHeight="true" outlineLevel="0" collapsed="false">
      <c r="A13" s="19"/>
      <c r="B13" s="26" t="s">
        <v>62</v>
      </c>
      <c r="C13" s="27" t="s">
        <v>63</v>
      </c>
      <c r="D13" s="27"/>
      <c r="E13" s="27"/>
      <c r="F13" s="19"/>
    </row>
    <row r="14" customFormat="false" ht="15" hidden="false" customHeight="true" outlineLevel="0" collapsed="false">
      <c r="A14" s="19"/>
      <c r="B14" s="26" t="s">
        <v>64</v>
      </c>
      <c r="C14" s="27" t="s">
        <v>65</v>
      </c>
      <c r="D14" s="27"/>
      <c r="E14" s="27"/>
      <c r="F14" s="19"/>
    </row>
    <row r="15" customFormat="false" ht="15" hidden="false" customHeight="true" outlineLevel="0" collapsed="false">
      <c r="A15" s="19"/>
      <c r="B15" s="26" t="s">
        <v>66</v>
      </c>
      <c r="C15" s="27" t="s">
        <v>67</v>
      </c>
      <c r="D15" s="27"/>
      <c r="E15" s="27"/>
      <c r="F15" s="19"/>
    </row>
    <row r="16" customFormat="false" ht="15" hidden="false" customHeight="true" outlineLevel="0" collapsed="false">
      <c r="A16" s="19"/>
      <c r="B16" s="19"/>
      <c r="C16" s="19"/>
      <c r="D16" s="19"/>
      <c r="E16" s="19"/>
      <c r="F16" s="19"/>
    </row>
    <row r="17" customFormat="false" ht="15" hidden="false" customHeight="true" outlineLevel="0" collapsed="false">
      <c r="A17" s="19"/>
      <c r="B17" s="19"/>
      <c r="C17" s="19"/>
      <c r="D17" s="19"/>
      <c r="E17" s="19"/>
      <c r="F17" s="19"/>
    </row>
    <row r="18" customFormat="false" ht="15" hidden="false" customHeight="true" outlineLevel="0" collapsed="false">
      <c r="A18" s="19"/>
      <c r="B18" s="19"/>
      <c r="C18" s="19"/>
      <c r="D18" s="19"/>
      <c r="E18" s="19"/>
      <c r="F18" s="19"/>
    </row>
    <row r="19" customFormat="false" ht="15" hidden="false" customHeight="true" outlineLevel="0" collapsed="false">
      <c r="A19" s="19"/>
      <c r="B19" s="28" t="s">
        <v>68</v>
      </c>
      <c r="C19" s="19"/>
      <c r="D19" s="19"/>
      <c r="E19" s="19"/>
      <c r="F19" s="19"/>
    </row>
    <row r="20" customFormat="false" ht="33.75" hidden="false" customHeight="true" outlineLevel="0" collapsed="false">
      <c r="A20" s="19"/>
      <c r="B20" s="29" t="s">
        <v>69</v>
      </c>
      <c r="C20" s="29"/>
      <c r="D20" s="30" t="s">
        <v>70</v>
      </c>
      <c r="E20" s="19"/>
      <c r="F20" s="19"/>
    </row>
    <row r="21" customFormat="false" ht="15" hidden="false" customHeight="true" outlineLevel="0" collapsed="false">
      <c r="A21" s="19"/>
      <c r="B21" s="31" t="s">
        <v>71</v>
      </c>
      <c r="C21" s="19"/>
      <c r="D21" s="19"/>
      <c r="E21" s="19"/>
      <c r="F21" s="19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19"/>
    </row>
  </sheetData>
  <mergeCells count="4">
    <mergeCell ref="C13:E13"/>
    <mergeCell ref="C14:E14"/>
    <mergeCell ref="C15:E15"/>
    <mergeCell ref="B20:C20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32" width="4"/>
    <col collapsed="false" customWidth="true" hidden="false" outlineLevel="0" max="2" min="2" style="32" width="14.57"/>
    <col collapsed="false" customWidth="true" hidden="false" outlineLevel="0" max="5" min="3" style="32" width="25.14"/>
    <col collapsed="false" customWidth="true" hidden="false" outlineLevel="0" max="6" min="6" style="32" width="13.57"/>
    <col collapsed="false" customWidth="true" hidden="false" outlineLevel="0" max="7" min="7" style="32" width="27"/>
  </cols>
  <sheetData>
    <row r="1" customFormat="false" ht="15" hidden="false" customHeight="true" outlineLevel="0" collapsed="false">
      <c r="A1" s="33"/>
      <c r="B1" s="33"/>
      <c r="C1" s="33"/>
      <c r="D1" s="33"/>
      <c r="E1" s="33"/>
      <c r="F1" s="33"/>
    </row>
    <row r="2" customFormat="false" ht="15" hidden="false" customHeight="true" outlineLevel="0" collapsed="false">
      <c r="A2" s="33"/>
      <c r="B2" s="34" t="s">
        <v>55</v>
      </c>
      <c r="C2" s="33"/>
      <c r="D2" s="33"/>
      <c r="E2" s="33"/>
      <c r="F2" s="33"/>
    </row>
    <row r="3" customFormat="false" ht="15" hidden="false" customHeight="true" outlineLevel="0" collapsed="false">
      <c r="A3" s="33"/>
      <c r="B3" s="34"/>
      <c r="C3" s="33"/>
      <c r="D3" s="33"/>
      <c r="E3" s="33"/>
      <c r="F3" s="33"/>
    </row>
    <row r="4" customFormat="false" ht="41.25" hidden="false" customHeight="true" outlineLevel="0" collapsed="false">
      <c r="A4" s="33"/>
      <c r="B4" s="35" t="s">
        <v>57</v>
      </c>
      <c r="C4" s="33"/>
      <c r="D4" s="33"/>
      <c r="E4" s="33"/>
      <c r="F4" s="33"/>
    </row>
    <row r="5" customFormat="false" ht="16.5" hidden="false" customHeight="true" outlineLevel="0" collapsed="false">
      <c r="A5" s="33"/>
      <c r="B5" s="36" t="s">
        <v>58</v>
      </c>
      <c r="C5" s="33"/>
      <c r="D5" s="33"/>
      <c r="E5" s="33"/>
      <c r="F5" s="33"/>
    </row>
    <row r="6" customFormat="false" ht="15" hidden="false" customHeight="true" outlineLevel="0" collapsed="false">
      <c r="A6" s="33"/>
      <c r="B6" s="33"/>
      <c r="C6" s="33"/>
      <c r="D6" s="33"/>
      <c r="E6" s="33"/>
      <c r="F6" s="33"/>
    </row>
    <row r="7" customFormat="false" ht="15" hidden="false" customHeight="true" outlineLevel="0" collapsed="false">
      <c r="A7" s="33"/>
      <c r="B7" s="33"/>
      <c r="C7" s="33"/>
      <c r="D7" s="33"/>
      <c r="E7" s="33"/>
      <c r="F7" s="33"/>
    </row>
    <row r="8" customFormat="false" ht="15" hidden="false" customHeight="true" outlineLevel="0" collapsed="false">
      <c r="A8" s="33"/>
      <c r="B8" s="37"/>
      <c r="C8" s="37"/>
      <c r="D8" s="37"/>
      <c r="E8" s="37"/>
      <c r="F8" s="33"/>
    </row>
    <row r="9" customFormat="false" ht="15" hidden="false" customHeight="true" outlineLevel="0" collapsed="false">
      <c r="A9" s="33"/>
      <c r="B9" s="38" t="s">
        <v>59</v>
      </c>
      <c r="C9" s="33"/>
      <c r="D9" s="33"/>
      <c r="E9" s="33"/>
      <c r="F9" s="33"/>
    </row>
    <row r="10" customFormat="false" ht="15" hidden="false" customHeight="true" outlineLevel="0" collapsed="false">
      <c r="A10" s="33"/>
      <c r="B10" s="39" t="s">
        <v>60</v>
      </c>
      <c r="C10" s="33"/>
      <c r="D10" s="33"/>
      <c r="E10" s="33"/>
      <c r="F10" s="33"/>
    </row>
    <row r="11" customFormat="false" ht="15" hidden="false" customHeight="true" outlineLevel="0" collapsed="false">
      <c r="A11" s="33"/>
      <c r="B11" s="40" t="s">
        <v>61</v>
      </c>
      <c r="C11" s="33"/>
      <c r="D11" s="33"/>
      <c r="E11" s="33"/>
      <c r="F11" s="33"/>
    </row>
    <row r="12" customFormat="false" ht="15" hidden="false" customHeight="true" outlineLevel="0" collapsed="false">
      <c r="A12" s="33"/>
      <c r="B12" s="33"/>
      <c r="C12" s="33"/>
      <c r="D12" s="33"/>
      <c r="E12" s="33"/>
      <c r="F12" s="33"/>
    </row>
    <row r="13" customFormat="false" ht="15" hidden="false" customHeight="true" outlineLevel="0" collapsed="false">
      <c r="A13" s="33"/>
      <c r="B13" s="33"/>
      <c r="C13" s="33"/>
      <c r="D13" s="33"/>
      <c r="E13" s="33"/>
      <c r="F13" s="33"/>
    </row>
    <row r="14" customFormat="false" ht="15" hidden="false" customHeight="true" outlineLevel="0" collapsed="false">
      <c r="A14" s="33"/>
      <c r="B14" s="41" t="s">
        <v>62</v>
      </c>
      <c r="C14" s="42" t="s">
        <v>63</v>
      </c>
      <c r="D14" s="42"/>
      <c r="E14" s="42"/>
      <c r="F14" s="33"/>
    </row>
    <row r="15" customFormat="false" ht="15" hidden="false" customHeight="true" outlineLevel="0" collapsed="false">
      <c r="A15" s="33"/>
      <c r="B15" s="41" t="s">
        <v>64</v>
      </c>
      <c r="C15" s="42" t="s">
        <v>65</v>
      </c>
      <c r="D15" s="42"/>
      <c r="E15" s="42"/>
      <c r="F15" s="33"/>
    </row>
    <row r="16" customFormat="false" ht="15" hidden="false" customHeight="true" outlineLevel="0" collapsed="false">
      <c r="A16" s="33"/>
      <c r="B16" s="41" t="s">
        <v>66</v>
      </c>
      <c r="C16" s="42" t="s">
        <v>67</v>
      </c>
      <c r="D16" s="42"/>
      <c r="E16" s="42"/>
      <c r="F16" s="33"/>
    </row>
    <row r="17" customFormat="false" ht="15" hidden="false" customHeight="true" outlineLevel="0" collapsed="false">
      <c r="A17" s="33"/>
      <c r="B17" s="33"/>
      <c r="C17" s="33"/>
      <c r="D17" s="33"/>
      <c r="E17" s="33"/>
      <c r="F17" s="33"/>
    </row>
    <row r="18" customFormat="false" ht="15" hidden="false" customHeight="true" outlineLevel="0" collapsed="false">
      <c r="A18" s="33"/>
      <c r="B18" s="43"/>
      <c r="C18" s="43"/>
      <c r="D18" s="43"/>
      <c r="E18" s="43"/>
      <c r="F18" s="33"/>
    </row>
    <row r="19" customFormat="false" ht="15" hidden="false" customHeight="true" outlineLevel="0" collapsed="false">
      <c r="A19" s="33"/>
      <c r="B19" s="44" t="s">
        <v>68</v>
      </c>
      <c r="C19" s="33"/>
      <c r="D19" s="45" t="s">
        <v>56</v>
      </c>
      <c r="E19" s="33"/>
      <c r="F19" s="33"/>
    </row>
    <row r="20" customFormat="false" ht="33.75" hidden="false" customHeight="true" outlineLevel="0" collapsed="false">
      <c r="A20" s="33"/>
      <c r="B20" s="46" t="s">
        <v>69</v>
      </c>
      <c r="C20" s="46"/>
      <c r="D20" s="46"/>
      <c r="E20" s="46"/>
      <c r="F20" s="33"/>
    </row>
    <row r="21" customFormat="false" ht="15" hidden="false" customHeight="true" outlineLevel="0" collapsed="false">
      <c r="A21" s="33"/>
      <c r="B21" s="47" t="s">
        <v>71</v>
      </c>
      <c r="C21" s="33"/>
      <c r="D21" s="33"/>
      <c r="E21" s="33"/>
      <c r="F21" s="33"/>
    </row>
    <row r="22" customFormat="false" ht="15" hidden="false" customHeight="true" outlineLevel="0" collapsed="false">
      <c r="A22" s="33"/>
      <c r="B22" s="33"/>
      <c r="C22" s="33"/>
      <c r="D22" s="33"/>
      <c r="E22" s="33"/>
      <c r="F22" s="33"/>
    </row>
  </sheetData>
  <mergeCells count="4">
    <mergeCell ref="C14:E14"/>
    <mergeCell ref="C15:E15"/>
    <mergeCell ref="C16:E16"/>
    <mergeCell ref="B20:E20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5C38"/>
    <pageSetUpPr fitToPage="true"/>
  </sheetPr>
  <dimension ref="A1:Q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1" outlineLevelCol="0"/>
  <cols>
    <col collapsed="false" customWidth="true" hidden="false" outlineLevel="0" max="1" min="1" style="32" width="2"/>
    <col collapsed="false" customWidth="true" hidden="false" outlineLevel="0" max="2" min="2" style="32" width="3"/>
    <col collapsed="false" customWidth="true" hidden="false" outlineLevel="0" max="3" min="3" style="32" width="21"/>
    <col collapsed="false" customWidth="true" hidden="false" outlineLevel="0" max="4" min="4" style="32" width="5"/>
    <col collapsed="false" customWidth="true" hidden="false" outlineLevel="0" max="5" min="5" style="32" width="1.42"/>
    <col collapsed="false" customWidth="true" hidden="false" outlineLevel="0" max="6" min="6" style="32" width="3"/>
    <col collapsed="false" customWidth="true" hidden="false" outlineLevel="0" max="7" min="7" style="32" width="21"/>
    <col collapsed="false" customWidth="true" hidden="false" outlineLevel="0" max="8" min="8" style="32" width="5"/>
    <col collapsed="false" customWidth="true" hidden="false" outlineLevel="0" max="9" min="9" style="32" width="1.42"/>
    <col collapsed="false" customWidth="true" hidden="false" outlineLevel="0" max="10" min="10" style="32" width="3"/>
    <col collapsed="false" customWidth="true" hidden="false" outlineLevel="0" max="11" min="11" style="32" width="21"/>
    <col collapsed="false" customWidth="true" hidden="false" outlineLevel="0" max="12" min="12" style="32" width="5"/>
    <col collapsed="false" customWidth="true" hidden="false" outlineLevel="0" max="13" min="13" style="32" width="2"/>
    <col collapsed="false" customWidth="true" hidden="false" outlineLevel="0" max="17" min="17" style="32" width="10"/>
  </cols>
  <sheetData>
    <row r="1" customFormat="false" ht="6" hidden="false" customHeight="true" outlineLevel="0" collapsed="false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9"/>
      <c r="P1" s="49"/>
    </row>
    <row r="2" customFormat="false" ht="27.75" hidden="false" customHeight="true" outlineLevel="0" collapsed="false">
      <c r="A2" s="48"/>
      <c r="B2" s="50" t="s">
        <v>72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48"/>
      <c r="O2" s="49"/>
      <c r="P2" s="49"/>
    </row>
    <row r="3" customFormat="false" ht="13.5" hidden="false" customHeight="true" outlineLevel="0" collapsed="false">
      <c r="A3" s="48"/>
      <c r="B3" s="51" t="str">
        <f aca="false">'P&amp;L — Quarter Outlook'!A2&amp;"  ·  Current quarter performance vs. budget  ·  Setpoint Finance"</f>
        <v>QUARTER OUTLOOK  ·  P&amp;L  ·  Current quarter performance vs. budget  ·  Setpoint Finance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48"/>
      <c r="O3" s="49"/>
      <c r="P3" s="49"/>
    </row>
    <row r="4" customFormat="false" ht="7.5" hidden="false" customHeight="true" outlineLevel="0" collapsed="false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9"/>
      <c r="P4" s="49"/>
    </row>
    <row r="5" customFormat="false" ht="4.5" hidden="false" customHeight="true" outlineLevel="0" collapsed="false">
      <c r="A5" s="48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48"/>
      <c r="O5" s="49"/>
      <c r="P5" s="49"/>
    </row>
    <row r="6" customFormat="false" ht="13.5" hidden="false" customHeight="true" outlineLevel="0" collapsed="false">
      <c r="A6" s="48"/>
      <c r="B6" s="53" t="s">
        <v>73</v>
      </c>
      <c r="C6" s="53"/>
      <c r="D6" s="53"/>
      <c r="E6" s="52"/>
      <c r="F6" s="53" t="s">
        <v>74</v>
      </c>
      <c r="G6" s="53"/>
      <c r="H6" s="53"/>
      <c r="I6" s="52"/>
      <c r="J6" s="53" t="s">
        <v>75</v>
      </c>
      <c r="K6" s="53"/>
      <c r="L6" s="53"/>
      <c r="M6" s="48"/>
      <c r="N6" s="48"/>
      <c r="O6" s="49"/>
      <c r="P6" s="49"/>
    </row>
    <row r="7" customFormat="false" ht="36" hidden="false" customHeight="true" outlineLevel="0" collapsed="false">
      <c r="A7" s="48"/>
      <c r="B7" s="54" t="n">
        <f aca="false">'ARR — Quarter Outlook'!B15*1000</f>
        <v>29640000</v>
      </c>
      <c r="C7" s="54"/>
      <c r="D7" s="54"/>
      <c r="E7" s="52"/>
      <c r="F7" s="54" t="n">
        <f aca="false">'P&amp;L — Quarter Outlook'!B9*1000</f>
        <v>6946760</v>
      </c>
      <c r="G7" s="54"/>
      <c r="H7" s="54"/>
      <c r="I7" s="52"/>
      <c r="J7" s="55" t="n">
        <f aca="false">'P&amp;L — Quarter Outlook'!B12</f>
        <v>0.826393887222245</v>
      </c>
      <c r="K7" s="55"/>
      <c r="L7" s="55"/>
      <c r="M7" s="48"/>
      <c r="N7" s="48"/>
      <c r="O7" s="49"/>
      <c r="P7" s="49"/>
    </row>
    <row r="8" customFormat="false" ht="12.75" hidden="false" customHeight="true" outlineLevel="0" collapsed="false">
      <c r="A8" s="48"/>
      <c r="B8" s="56" t="s">
        <v>76</v>
      </c>
      <c r="C8" s="56"/>
      <c r="D8" s="56"/>
      <c r="E8" s="52"/>
      <c r="F8" s="56" t="s">
        <v>76</v>
      </c>
      <c r="G8" s="56"/>
      <c r="H8" s="56"/>
      <c r="I8" s="52"/>
      <c r="J8" s="56" t="s">
        <v>77</v>
      </c>
      <c r="K8" s="56"/>
      <c r="L8" s="56"/>
      <c r="M8" s="48"/>
      <c r="N8" s="48"/>
      <c r="O8" s="49"/>
      <c r="P8" s="49"/>
    </row>
    <row r="9" customFormat="false" ht="15" hidden="false" customHeight="true" outlineLevel="0" collapsed="false">
      <c r="A9" s="48"/>
      <c r="B9" s="57" t="n">
        <f aca="false">('ARR — Quarter Outlook'!B15-'ARR — Quarter Outlook'!C15)*1000</f>
        <v>-2360000</v>
      </c>
      <c r="C9" s="57"/>
      <c r="D9" s="57"/>
      <c r="E9" s="52"/>
      <c r="F9" s="57" t="n">
        <f aca="false">('P&amp;L — Quarter Outlook'!B9-'P&amp;L — Quarter Outlook'!C9)*1000</f>
        <v>-264969.999999999</v>
      </c>
      <c r="G9" s="57"/>
      <c r="H9" s="57"/>
      <c r="I9" s="52"/>
      <c r="J9" s="58" t="n">
        <f aca="false">('P&amp;L — Quarter Outlook'!B12-'P&amp;L — Quarter Outlook'!C12)*10000</f>
        <v>-11.3709355490588</v>
      </c>
      <c r="K9" s="58"/>
      <c r="L9" s="58"/>
      <c r="M9" s="48"/>
      <c r="N9" s="48"/>
      <c r="O9" s="49"/>
      <c r="P9" s="49"/>
    </row>
    <row r="10" customFormat="false" ht="6" hidden="false" customHeight="true" outlineLevel="0" collapsed="false">
      <c r="A10" s="48"/>
      <c r="B10" s="59"/>
      <c r="C10" s="59"/>
      <c r="D10" s="59"/>
      <c r="E10" s="52"/>
      <c r="F10" s="59"/>
      <c r="G10" s="59"/>
      <c r="H10" s="59"/>
      <c r="I10" s="52"/>
      <c r="J10" s="59"/>
      <c r="K10" s="59"/>
      <c r="L10" s="59"/>
      <c r="M10" s="48"/>
      <c r="N10" s="48"/>
      <c r="O10" s="49"/>
      <c r="P10" s="49"/>
    </row>
    <row r="11" customFormat="false" ht="4.5" hidden="false" customHeight="true" outlineLevel="0" collapsed="false">
      <c r="A11" s="48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48"/>
      <c r="O11" s="49"/>
      <c r="P11" s="49"/>
    </row>
    <row r="12" customFormat="false" ht="13.5" hidden="false" customHeight="true" outlineLevel="0" collapsed="false">
      <c r="A12" s="48"/>
      <c r="B12" s="60" t="s">
        <v>78</v>
      </c>
      <c r="C12" s="60"/>
      <c r="D12" s="60"/>
      <c r="E12" s="52"/>
      <c r="F12" s="61" t="s">
        <v>79</v>
      </c>
      <c r="G12" s="61"/>
      <c r="H12" s="61"/>
      <c r="I12" s="52"/>
      <c r="J12" s="62" t="s">
        <v>80</v>
      </c>
      <c r="K12" s="62"/>
      <c r="L12" s="62"/>
      <c r="M12" s="48"/>
      <c r="N12" s="48"/>
      <c r="O12" s="49"/>
      <c r="P12" s="49"/>
    </row>
    <row r="13" customFormat="false" ht="36" hidden="false" customHeight="true" outlineLevel="0" collapsed="false">
      <c r="A13" s="48"/>
      <c r="B13" s="55" t="n">
        <f aca="false">'ARR — Quarter Outlook'!B21</f>
        <v>1.000507</v>
      </c>
      <c r="C13" s="55"/>
      <c r="D13" s="55"/>
      <c r="E13" s="52"/>
      <c r="F13" s="54" t="n">
        <f aca="false">'Forecast Inputs'!E8</f>
        <v>14200000</v>
      </c>
      <c r="G13" s="54"/>
      <c r="H13" s="54"/>
      <c r="I13" s="52"/>
      <c r="J13" s="63" t="n">
        <f aca="false">'P&amp;L — Quarter Outlook'!B25</f>
        <v>101</v>
      </c>
      <c r="K13" s="63"/>
      <c r="L13" s="63"/>
      <c r="M13" s="48"/>
      <c r="N13" s="48"/>
      <c r="O13" s="49"/>
      <c r="P13" s="49"/>
    </row>
    <row r="14" customFormat="false" ht="12.75" hidden="false" customHeight="true" outlineLevel="0" collapsed="false">
      <c r="A14" s="48"/>
      <c r="B14" s="64" t="s">
        <v>77</v>
      </c>
      <c r="C14" s="64"/>
      <c r="D14" s="64"/>
      <c r="E14" s="52"/>
      <c r="F14" s="65" t="str">
        <f aca="false">IFERROR(IF('P&amp;L — Quarter Outlook'!B17&lt;0,'Forecast Inputs'!E9/ABS('P&amp;L — Quarter Outlook'!B17/3)*-1,"Cash flow positive"),"—")</f>
        <v>Cash flow positive</v>
      </c>
      <c r="G14" s="65"/>
      <c r="H14" s="65"/>
      <c r="I14" s="52"/>
      <c r="J14" s="66" t="s">
        <v>76</v>
      </c>
      <c r="K14" s="66"/>
      <c r="L14" s="66"/>
      <c r="M14" s="48"/>
      <c r="N14" s="48"/>
      <c r="O14" s="49"/>
      <c r="P14" s="49"/>
      <c r="Q14" s="67"/>
    </row>
    <row r="15" customFormat="false" ht="15" hidden="false" customHeight="true" outlineLevel="0" collapsed="false">
      <c r="A15" s="48"/>
      <c r="B15" s="58" t="n">
        <f aca="false">('ARR — Quarter Outlook'!B21-'ARR — Quarter Outlook'!C21)*10000</f>
        <v>-86.7700000000005</v>
      </c>
      <c r="C15" s="58"/>
      <c r="D15" s="58"/>
      <c r="E15" s="52"/>
      <c r="F15" s="68"/>
      <c r="G15" s="68"/>
      <c r="H15" s="68"/>
      <c r="I15" s="52"/>
      <c r="J15" s="69" t="n">
        <f aca="false">'P&amp;L — Quarter Outlook'!B25-'P&amp;L — Quarter Outlook'!C25</f>
        <v>1</v>
      </c>
      <c r="K15" s="69"/>
      <c r="L15" s="69"/>
      <c r="M15" s="48"/>
      <c r="N15" s="48"/>
      <c r="O15" s="49"/>
      <c r="P15" s="49"/>
      <c r="Q15" s="67"/>
    </row>
    <row r="16" customFormat="false" ht="7.5" hidden="false" customHeight="true" outlineLevel="0" collapsed="false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9"/>
      <c r="P16" s="49"/>
    </row>
    <row r="17" customFormat="false" ht="4.5" hidden="false" customHeight="true" outlineLevel="0" collapsed="false">
      <c r="A17" s="48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48"/>
      <c r="O17" s="49"/>
      <c r="P17" s="49"/>
    </row>
    <row r="18" customFormat="false" ht="12.75" hidden="false" customHeight="true" outlineLevel="0" collapsed="false">
      <c r="A18" s="48"/>
      <c r="B18" s="70" t="s">
        <v>81</v>
      </c>
      <c r="C18" s="70"/>
      <c r="D18" s="70"/>
      <c r="E18" s="70"/>
      <c r="F18" s="70"/>
      <c r="G18" s="70"/>
      <c r="H18" s="70" t="s">
        <v>82</v>
      </c>
      <c r="I18" s="70"/>
      <c r="J18" s="70"/>
      <c r="K18" s="70"/>
      <c r="L18" s="70"/>
      <c r="M18" s="70"/>
      <c r="N18" s="48"/>
      <c r="O18" s="49"/>
      <c r="P18" s="49"/>
    </row>
    <row r="19" customFormat="false" ht="39.75" hidden="false" customHeight="true" outlineLevel="0" collapsed="false">
      <c r="A19" s="48"/>
      <c r="B19" s="71" t="s">
        <v>83</v>
      </c>
      <c r="C19" s="71"/>
      <c r="D19" s="71"/>
      <c r="E19" s="71"/>
      <c r="F19" s="71"/>
      <c r="G19" s="71"/>
      <c r="H19" s="71" t="s">
        <v>84</v>
      </c>
      <c r="I19" s="71"/>
      <c r="J19" s="71"/>
      <c r="K19" s="71"/>
      <c r="L19" s="71"/>
      <c r="M19" s="71"/>
      <c r="N19" s="48"/>
      <c r="O19" s="49"/>
      <c r="P19" s="49"/>
    </row>
    <row r="20" customFormat="false" ht="39.75" hidden="false" customHeight="true" outlineLevel="0" collapsed="false">
      <c r="A20" s="48"/>
      <c r="B20" s="72" t="s">
        <v>85</v>
      </c>
      <c r="C20" s="72"/>
      <c r="D20" s="72"/>
      <c r="E20" s="72"/>
      <c r="F20" s="72"/>
      <c r="G20" s="72"/>
      <c r="H20" s="72" t="s">
        <v>86</v>
      </c>
      <c r="I20" s="72"/>
      <c r="J20" s="72"/>
      <c r="K20" s="72"/>
      <c r="L20" s="72"/>
      <c r="M20" s="72"/>
      <c r="N20" s="48"/>
      <c r="O20" s="49"/>
      <c r="P20" s="49"/>
    </row>
    <row r="21" customFormat="false" ht="27.75" hidden="false" customHeight="true" outlineLevel="0" collapsed="false">
      <c r="A21" s="48"/>
      <c r="B21" s="72" t="s">
        <v>87</v>
      </c>
      <c r="C21" s="72"/>
      <c r="D21" s="72"/>
      <c r="E21" s="72"/>
      <c r="F21" s="72"/>
      <c r="G21" s="72"/>
      <c r="H21" s="72" t="s">
        <v>88</v>
      </c>
      <c r="I21" s="72"/>
      <c r="J21" s="72"/>
      <c r="K21" s="72"/>
      <c r="L21" s="72"/>
      <c r="M21" s="72"/>
      <c r="N21" s="48"/>
      <c r="O21" s="49"/>
      <c r="P21" s="49"/>
    </row>
    <row r="22" customFormat="false" ht="39.75" hidden="false" customHeight="true" outlineLevel="0" collapsed="false">
      <c r="A22" s="48"/>
      <c r="B22" s="72" t="s">
        <v>89</v>
      </c>
      <c r="C22" s="72"/>
      <c r="D22" s="72"/>
      <c r="E22" s="72"/>
      <c r="F22" s="72"/>
      <c r="G22" s="72"/>
      <c r="H22" s="72" t="s">
        <v>90</v>
      </c>
      <c r="I22" s="72"/>
      <c r="J22" s="72"/>
      <c r="K22" s="72"/>
      <c r="L22" s="72"/>
      <c r="M22" s="72"/>
      <c r="N22" s="48"/>
      <c r="O22" s="49"/>
      <c r="P22" s="49"/>
    </row>
    <row r="23" customFormat="false" ht="39.75" hidden="false" customHeight="true" outlineLevel="0" collapsed="false">
      <c r="A23" s="48"/>
      <c r="B23" s="72" t="s">
        <v>91</v>
      </c>
      <c r="C23" s="72"/>
      <c r="D23" s="72"/>
      <c r="E23" s="72"/>
      <c r="F23" s="72"/>
      <c r="G23" s="72"/>
      <c r="H23" s="73"/>
      <c r="I23" s="73"/>
      <c r="J23" s="73"/>
      <c r="K23" s="73"/>
      <c r="L23" s="73"/>
      <c r="M23" s="74"/>
      <c r="N23" s="48"/>
      <c r="O23" s="49"/>
      <c r="P23" s="49"/>
    </row>
    <row r="24" customFormat="false" ht="13.5" hidden="false" customHeight="true" outlineLevel="0" collapsed="false">
      <c r="A24" s="48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48"/>
      <c r="N24" s="48"/>
      <c r="O24" s="49"/>
      <c r="P24" s="49"/>
    </row>
    <row r="25" customFormat="false" ht="13.5" hidden="false" customHeight="true" outlineLevel="0" collapsed="false">
      <c r="A25" s="48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48"/>
      <c r="N25" s="48"/>
      <c r="O25" s="49"/>
      <c r="P25" s="49"/>
    </row>
    <row r="26" customFormat="false" ht="13.5" hidden="false" customHeight="true" outlineLevel="0" collapsed="false">
      <c r="A26" s="48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48"/>
      <c r="N26" s="48"/>
      <c r="O26" s="49"/>
      <c r="P26" s="49"/>
    </row>
    <row r="27" customFormat="false" ht="7.5" hidden="false" customHeight="true" outlineLevel="0" collapsed="false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9"/>
      <c r="P27" s="49"/>
    </row>
    <row r="28" customFormat="false" ht="4.5" hidden="false" customHeight="true" outlineLevel="0" collapsed="false">
      <c r="A28" s="48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48"/>
      <c r="O28" s="49"/>
      <c r="P28" s="49"/>
    </row>
    <row r="29" customFormat="false" ht="13.5" hidden="false" customHeight="true" outlineLevel="0" collapsed="false">
      <c r="A29" s="48"/>
      <c r="B29" s="75" t="s">
        <v>92</v>
      </c>
      <c r="C29" s="76"/>
      <c r="D29" s="77"/>
      <c r="E29" s="77"/>
      <c r="F29" s="77"/>
      <c r="G29" s="77"/>
      <c r="H29" s="75" t="s">
        <v>93</v>
      </c>
      <c r="I29" s="78"/>
      <c r="J29" s="78"/>
      <c r="K29" s="78"/>
      <c r="L29" s="78"/>
      <c r="M29" s="79"/>
      <c r="N29" s="48"/>
      <c r="O29" s="49"/>
      <c r="P29" s="49"/>
    </row>
    <row r="30" customFormat="false" ht="33" hidden="false" customHeight="true" outlineLevel="0" collapsed="false">
      <c r="A30" s="48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48"/>
      <c r="O30" s="49"/>
      <c r="P30" s="49"/>
    </row>
    <row r="31" customFormat="false" ht="7.5" hidden="false" customHeight="true" outlineLevel="0" collapsed="false">
      <c r="A31" s="48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48"/>
      <c r="O31" s="49"/>
      <c r="P31" s="49"/>
      <c r="Q31" s="67"/>
    </row>
    <row r="32" customFormat="false" ht="60" hidden="false" customHeight="true" outlineLevel="0" collapsed="false">
      <c r="A32" s="48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48"/>
      <c r="O32" s="49"/>
      <c r="P32" s="49"/>
    </row>
    <row r="33" customFormat="false" ht="31.5" hidden="false" customHeight="true" outlineLevel="0" collapsed="false">
      <c r="A33" s="48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48"/>
      <c r="O33" s="49"/>
      <c r="P33" s="49"/>
    </row>
    <row r="34" customFormat="false" ht="7.5" hidden="false" customHeight="true" outlineLevel="0" collapsed="false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9"/>
      <c r="P34" s="49"/>
    </row>
    <row r="35" customFormat="false" ht="4.5" hidden="false" customHeight="true" outlineLevel="0" collapsed="false">
      <c r="A35" s="48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48"/>
      <c r="O35" s="49"/>
      <c r="P35" s="49"/>
    </row>
    <row r="36" customFormat="false" ht="12.75" hidden="false" customHeight="true" outlineLevel="0" collapsed="false">
      <c r="A36" s="48"/>
      <c r="B36" s="82" t="s">
        <v>94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48"/>
      <c r="O36" s="49"/>
      <c r="P36" s="49"/>
    </row>
    <row r="37" customFormat="false" ht="6" hidden="false" customHeight="true" outlineLevel="0" collapsed="false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9"/>
      <c r="P37" s="49"/>
    </row>
    <row r="38" customFormat="false" ht="18" hidden="false" customHeight="true" outlineLevel="0" collapsed="false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9"/>
      <c r="P38" s="49"/>
    </row>
    <row r="40" customFormat="false" ht="15" hidden="true" customHeight="true" outlineLevel="1" collapsed="false"/>
    <row r="41" customFormat="false" ht="15" hidden="true" customHeight="true" outlineLevel="1" collapsed="false">
      <c r="O41" s="83" t="s">
        <v>95</v>
      </c>
      <c r="P41" s="67"/>
      <c r="Q41" s="67"/>
    </row>
    <row r="42" customFormat="false" ht="15" hidden="true" customHeight="true" outlineLevel="1" collapsed="false">
      <c r="O42" s="83" t="s">
        <v>96</v>
      </c>
      <c r="P42" s="83" t="s">
        <v>97</v>
      </c>
      <c r="Q42" s="83" t="s">
        <v>98</v>
      </c>
    </row>
    <row r="43" customFormat="false" ht="15" hidden="true" customHeight="true" outlineLevel="1" collapsed="false">
      <c r="O43" s="83" t="s">
        <v>99</v>
      </c>
      <c r="P43" s="84" t="n">
        <f aca="false">'P&amp;L — Quarter Outlook'!B9</f>
        <v>6946.76</v>
      </c>
      <c r="Q43" s="84" t="n">
        <f aca="false">'P&amp;L — Quarter Outlook'!C9</f>
        <v>7211.73</v>
      </c>
    </row>
    <row r="44" customFormat="false" ht="15" hidden="true" customHeight="true" outlineLevel="1" collapsed="false">
      <c r="O44" s="83" t="s">
        <v>100</v>
      </c>
      <c r="P44" s="85" t="n">
        <f aca="false">'P&amp;L — Quarter Outlook'!B12</f>
        <v>0.826393887222245</v>
      </c>
      <c r="Q44" s="85" t="n">
        <f aca="false">'P&amp;L — Quarter Outlook'!C12</f>
        <v>0.827530980777151</v>
      </c>
    </row>
    <row r="45" customFormat="false" ht="15" hidden="true" customHeight="true" outlineLevel="1" collapsed="false"/>
    <row r="46" customFormat="false" ht="15" hidden="true" customHeight="true" outlineLevel="1" collapsed="false"/>
    <row r="47" customFormat="false" ht="15" hidden="true" customHeight="true" outlineLevel="1" collapsed="false">
      <c r="O47" s="83" t="s">
        <v>101</v>
      </c>
      <c r="P47" s="67"/>
      <c r="Q47" s="67"/>
    </row>
    <row r="48" customFormat="false" ht="15" hidden="true" customHeight="true" outlineLevel="1" collapsed="false">
      <c r="O48" s="83" t="s">
        <v>102</v>
      </c>
      <c r="P48" s="83" t="s">
        <v>103</v>
      </c>
      <c r="Q48" s="83" t="s">
        <v>104</v>
      </c>
    </row>
    <row r="49" customFormat="false" ht="15" hidden="true" customHeight="true" outlineLevel="1" collapsed="false">
      <c r="O49" s="83" t="s">
        <v>105</v>
      </c>
      <c r="P49" s="86" t="n">
        <f aca="false">'ARR — Quarter Outlook'!B9</f>
        <v>25000</v>
      </c>
      <c r="Q49" s="86" t="n">
        <f aca="false">'ARR — Quarter Outlook'!C9</f>
        <v>25000</v>
      </c>
    </row>
    <row r="50" customFormat="false" ht="15" hidden="true" customHeight="true" outlineLevel="1" collapsed="false">
      <c r="O50" s="83" t="s">
        <v>106</v>
      </c>
      <c r="P50" s="86" t="n">
        <f aca="false">'ARR — Quarter Outlook'!B10</f>
        <v>4627.31</v>
      </c>
      <c r="Q50" s="86" t="n">
        <f aca="false">'ARR — Quarter Outlook'!C10</f>
        <v>6770.4</v>
      </c>
    </row>
    <row r="51" customFormat="false" ht="15" hidden="true" customHeight="true" outlineLevel="1" collapsed="false">
      <c r="O51" s="83" t="s">
        <v>107</v>
      </c>
      <c r="P51" s="86" t="n">
        <f aca="false">'ARR — Quarter Outlook'!B11</f>
        <v>477.84</v>
      </c>
      <c r="Q51" s="86" t="n">
        <f aca="false">'ARR — Quarter Outlook'!C11</f>
        <v>574</v>
      </c>
    </row>
    <row r="52" customFormat="false" ht="15" hidden="true" customHeight="true" outlineLevel="1" collapsed="false">
      <c r="O52" s="83" t="s">
        <v>108</v>
      </c>
      <c r="P52" s="86" t="n">
        <f aca="false">'ARR — Quarter Outlook'!B12</f>
        <v>-134.84</v>
      </c>
      <c r="Q52" s="86" t="n">
        <f aca="false">'ARR — Quarter Outlook'!C12</f>
        <v>-114.8</v>
      </c>
    </row>
    <row r="53" customFormat="false" ht="15" hidden="true" customHeight="true" outlineLevel="1" collapsed="false">
      <c r="O53" s="83" t="s">
        <v>109</v>
      </c>
      <c r="P53" s="86" t="n">
        <f aca="false">'ARR — Quarter Outlook'!B13</f>
        <v>-330.31</v>
      </c>
      <c r="Q53" s="86" t="n">
        <f aca="false">'ARR — Quarter Outlook'!C13</f>
        <v>-229.6</v>
      </c>
    </row>
    <row r="54" customFormat="false" ht="15" hidden="true" customHeight="true" outlineLevel="1" collapsed="false">
      <c r="O54" s="83" t="s">
        <v>73</v>
      </c>
      <c r="P54" s="86" t="n">
        <f aca="false">'ARR — Quarter Outlook'!B15</f>
        <v>29640</v>
      </c>
      <c r="Q54" s="86" t="n">
        <f aca="false">'ARR — Quarter Outlook'!C15</f>
        <v>32000</v>
      </c>
    </row>
  </sheetData>
  <mergeCells count="40">
    <mergeCell ref="B2:M2"/>
    <mergeCell ref="B3:M3"/>
    <mergeCell ref="B6:D6"/>
    <mergeCell ref="F6:H6"/>
    <mergeCell ref="J6:L6"/>
    <mergeCell ref="B7:D7"/>
    <mergeCell ref="F7:H7"/>
    <mergeCell ref="J7:L7"/>
    <mergeCell ref="B8:D8"/>
    <mergeCell ref="F8:H8"/>
    <mergeCell ref="J8:L8"/>
    <mergeCell ref="B9:D9"/>
    <mergeCell ref="F9:H9"/>
    <mergeCell ref="J9:L9"/>
    <mergeCell ref="B12:D12"/>
    <mergeCell ref="F12:H12"/>
    <mergeCell ref="J12:L12"/>
    <mergeCell ref="B13:D13"/>
    <mergeCell ref="F13:H13"/>
    <mergeCell ref="J13:L13"/>
    <mergeCell ref="B14:D14"/>
    <mergeCell ref="F14:H14"/>
    <mergeCell ref="J14:L14"/>
    <mergeCell ref="B15:D15"/>
    <mergeCell ref="F15:H15"/>
    <mergeCell ref="J15:L15"/>
    <mergeCell ref="B18:G18"/>
    <mergeCell ref="H18:M18"/>
    <mergeCell ref="B19:G19"/>
    <mergeCell ref="H19:M19"/>
    <mergeCell ref="B20:G20"/>
    <mergeCell ref="H20:M20"/>
    <mergeCell ref="B21:G21"/>
    <mergeCell ref="H21:M21"/>
    <mergeCell ref="B22:G22"/>
    <mergeCell ref="H22:M22"/>
    <mergeCell ref="B23:G23"/>
    <mergeCell ref="B30:G30"/>
    <mergeCell ref="H30:M30"/>
    <mergeCell ref="B36:M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5C38"/>
    <pageSetUpPr fitToPage="true"/>
  </sheetPr>
  <dimension ref="A1:T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0"/>
    <col collapsed="false" customWidth="true" hidden="false" outlineLevel="0" max="5" min="5" style="1" width="1.57"/>
    <col collapsed="false" customWidth="true" hidden="false" outlineLevel="0" max="7" min="6" style="1" width="10"/>
    <col collapsed="false" customWidth="true" hidden="false" outlineLevel="0" max="8" min="8" style="1" width="1.57"/>
    <col collapsed="false" customWidth="true" hidden="false" outlineLevel="0" max="11" min="9" style="1" width="10"/>
    <col collapsed="false" customWidth="true" hidden="false" outlineLevel="0" max="12" min="12" style="1" width="1.57"/>
    <col collapsed="false" customWidth="true" hidden="false" outlineLevel="0" max="14" min="13" style="1" width="10"/>
    <col collapsed="false" customWidth="false" hidden="false" outlineLevel="0" max="16384" min="15" style="1" width="9.14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2" hidden="false" customHeight="true" outlineLevel="0" collapsed="false">
      <c r="A2" s="7" t="s">
        <v>110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30" hidden="false" customHeight="true" outlineLevel="0" collapsed="false">
      <c r="A3" s="87" t="s">
        <v>111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.75" hidden="false" customHeight="true" outlineLevel="0" collapsed="false">
      <c r="A4" s="88" t="s">
        <v>112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="89" customFormat="tru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15.75" hidden="false" customHeight="true" outlineLevel="0" collapsed="false">
      <c r="A6" s="90"/>
      <c r="B6" s="91" t="s">
        <v>113</v>
      </c>
      <c r="C6" s="91"/>
      <c r="D6" s="91"/>
      <c r="E6" s="92"/>
      <c r="F6" s="91" t="s">
        <v>114</v>
      </c>
      <c r="G6" s="91"/>
      <c r="H6" s="92"/>
      <c r="I6" s="91" t="s">
        <v>115</v>
      </c>
      <c r="J6" s="91"/>
      <c r="K6" s="91"/>
      <c r="L6" s="92"/>
      <c r="M6" s="91" t="s">
        <v>114</v>
      </c>
      <c r="N6" s="91"/>
      <c r="O6" s="2"/>
      <c r="P6" s="2"/>
      <c r="Q6" s="2"/>
      <c r="R6" s="2"/>
      <c r="S6" s="2"/>
      <c r="T6" s="2"/>
    </row>
    <row r="7" customFormat="false" ht="13.5" hidden="false" customHeight="true" outlineLevel="0" collapsed="false">
      <c r="A7" s="93"/>
      <c r="B7" s="94" t="s">
        <v>97</v>
      </c>
      <c r="C7" s="94" t="s">
        <v>98</v>
      </c>
      <c r="D7" s="94" t="s">
        <v>116</v>
      </c>
      <c r="E7" s="95"/>
      <c r="F7" s="94" t="s">
        <v>97</v>
      </c>
      <c r="G7" s="94" t="s">
        <v>117</v>
      </c>
      <c r="H7" s="95"/>
      <c r="I7" s="94" t="s">
        <v>97</v>
      </c>
      <c r="J7" s="94" t="s">
        <v>98</v>
      </c>
      <c r="K7" s="94" t="s">
        <v>116</v>
      </c>
      <c r="L7" s="95"/>
      <c r="M7" s="94" t="s">
        <v>97</v>
      </c>
      <c r="N7" s="94" t="s">
        <v>117</v>
      </c>
      <c r="O7" s="2"/>
      <c r="P7" s="2"/>
      <c r="Q7" s="2"/>
      <c r="R7" s="2"/>
      <c r="S7" s="2"/>
      <c r="T7" s="2"/>
    </row>
    <row r="8" s="99" customFormat="true" ht="13.5" hidden="false" customHeight="true" outlineLevel="0" collapsed="false">
      <c r="A8" s="96"/>
      <c r="B8" s="97" t="s">
        <v>118</v>
      </c>
      <c r="C8" s="97" t="s">
        <v>118</v>
      </c>
      <c r="D8" s="97" t="s">
        <v>118</v>
      </c>
      <c r="E8" s="98"/>
      <c r="F8" s="97" t="s">
        <v>119</v>
      </c>
      <c r="G8" s="97" t="s">
        <v>120</v>
      </c>
      <c r="H8" s="98"/>
      <c r="I8" s="97" t="s">
        <v>121</v>
      </c>
      <c r="J8" s="97" t="s">
        <v>121</v>
      </c>
      <c r="K8" s="97" t="s">
        <v>121</v>
      </c>
      <c r="L8" s="98"/>
      <c r="M8" s="97" t="s">
        <v>122</v>
      </c>
      <c r="N8" s="97" t="s">
        <v>120</v>
      </c>
      <c r="O8" s="2"/>
      <c r="P8" s="2"/>
      <c r="Q8" s="2"/>
      <c r="R8" s="2"/>
      <c r="S8" s="2"/>
      <c r="T8" s="2"/>
    </row>
    <row r="9" customFormat="false" ht="17.25" hidden="false" customHeight="true" outlineLevel="0" collapsed="false">
      <c r="A9" s="100" t="s">
        <v>99</v>
      </c>
      <c r="B9" s="101" t="n">
        <v>6946.76</v>
      </c>
      <c r="C9" s="101" t="n">
        <v>7211.73</v>
      </c>
      <c r="D9" s="102" t="n">
        <f aca="false">B9-C9</f>
        <v>-264.969999999999</v>
      </c>
      <c r="E9" s="2"/>
      <c r="F9" s="101" t="n">
        <v>5062.67</v>
      </c>
      <c r="G9" s="103" t="n">
        <f aca="false">IFERROR((B9-F9)/ABS(F9),"-")</f>
        <v>0.372153428921893</v>
      </c>
      <c r="H9" s="2"/>
      <c r="I9" s="101" t="n">
        <v>6946.76</v>
      </c>
      <c r="J9" s="101" t="n">
        <v>7211.73</v>
      </c>
      <c r="K9" s="102" t="n">
        <f aca="false">I9-J9</f>
        <v>-264.969999999999</v>
      </c>
      <c r="L9" s="2"/>
      <c r="M9" s="101" t="n">
        <v>5062.67</v>
      </c>
      <c r="N9" s="103" t="n">
        <f aca="false">IFERROR((I9-M9)/ABS(M9),"-")</f>
        <v>0.372153428921893</v>
      </c>
      <c r="O9" s="2"/>
      <c r="P9" s="2"/>
      <c r="Q9" s="2"/>
      <c r="R9" s="2"/>
      <c r="S9" s="2"/>
      <c r="T9" s="2"/>
    </row>
    <row r="10" customFormat="false" ht="17.25" hidden="false" customHeight="true" outlineLevel="0" collapsed="false">
      <c r="A10" s="2" t="s">
        <v>123</v>
      </c>
      <c r="B10" s="104" t="n">
        <v>1206</v>
      </c>
      <c r="C10" s="104" t="n">
        <v>1243.8</v>
      </c>
      <c r="D10" s="105" t="n">
        <f aca="false">C10-B10</f>
        <v>37.8</v>
      </c>
      <c r="E10" s="2"/>
      <c r="F10" s="104" t="n">
        <v>996.1</v>
      </c>
      <c r="G10" s="106" t="n">
        <f aca="false">IFERROR((B10-F10)/ABS(F10),"-")</f>
        <v>0.210721815078807</v>
      </c>
      <c r="H10" s="2"/>
      <c r="I10" s="104" t="n">
        <v>1206</v>
      </c>
      <c r="J10" s="104" t="n">
        <v>1243.8</v>
      </c>
      <c r="K10" s="105" t="n">
        <f aca="false">J10-I10</f>
        <v>37.8</v>
      </c>
      <c r="L10" s="2"/>
      <c r="M10" s="104" t="n">
        <v>996.1</v>
      </c>
      <c r="N10" s="106" t="n">
        <f aca="false">IFERROR((I10-M10)/ABS(M10),"-")</f>
        <v>0.210721815078807</v>
      </c>
      <c r="O10" s="2"/>
      <c r="P10" s="2"/>
      <c r="Q10" s="2"/>
      <c r="R10" s="2"/>
      <c r="S10" s="2"/>
      <c r="T10" s="2"/>
    </row>
    <row r="11" customFormat="false" ht="17.25" hidden="false" customHeight="true" outlineLevel="0" collapsed="false">
      <c r="A11" s="107" t="s">
        <v>124</v>
      </c>
      <c r="B11" s="108" t="n">
        <f aca="false">B9-B10</f>
        <v>5740.76</v>
      </c>
      <c r="C11" s="108" t="n">
        <f aca="false">C9-C10</f>
        <v>5967.93</v>
      </c>
      <c r="D11" s="109" t="n">
        <f aca="false">B11-C11</f>
        <v>-227.169999999999</v>
      </c>
      <c r="E11" s="2"/>
      <c r="F11" s="108" t="n">
        <f aca="false">F9-F10</f>
        <v>4066.57</v>
      </c>
      <c r="G11" s="110" t="n">
        <f aca="false">IFERROR((B11-F11)/ABS(F11),"-")</f>
        <v>0.411695851786641</v>
      </c>
      <c r="H11" s="2"/>
      <c r="I11" s="108" t="n">
        <f aca="false">I9-I10</f>
        <v>5740.76</v>
      </c>
      <c r="J11" s="108" t="n">
        <f aca="false">J9-J10</f>
        <v>5967.93</v>
      </c>
      <c r="K11" s="109" t="n">
        <f aca="false">I11-J11</f>
        <v>-227.169999999999</v>
      </c>
      <c r="L11" s="2"/>
      <c r="M11" s="108" t="n">
        <f aca="false">M9-M10</f>
        <v>4066.57</v>
      </c>
      <c r="N11" s="110" t="n">
        <f aca="false">IFERROR((I11-M11)/ABS(M11),"-")</f>
        <v>0.411695851786641</v>
      </c>
      <c r="O11" s="2"/>
      <c r="P11" s="2"/>
      <c r="Q11" s="2"/>
      <c r="R11" s="2"/>
      <c r="S11" s="2"/>
      <c r="T11" s="2"/>
    </row>
    <row r="12" customFormat="false" ht="17.25" hidden="false" customHeight="true" outlineLevel="0" collapsed="false">
      <c r="A12" s="2" t="s">
        <v>125</v>
      </c>
      <c r="B12" s="111" t="n">
        <f aca="false">IFERROR(B11/B9,0)</f>
        <v>0.826393887222245</v>
      </c>
      <c r="C12" s="111" t="n">
        <f aca="false">IFERROR(C11/C9,0)</f>
        <v>0.827530980777151</v>
      </c>
      <c r="D12" s="112" t="n">
        <f aca="false">IFERROR((B12-C12)*10000,0)</f>
        <v>-11.3709355490588</v>
      </c>
      <c r="E12" s="2"/>
      <c r="F12" s="111" t="n">
        <f aca="false">IFERROR(F11/F9,0)</f>
        <v>0.803246113216939</v>
      </c>
      <c r="G12" s="112" t="n">
        <f aca="false">IFERROR((B12-F12)*10000,0)</f>
        <v>231.477740053057</v>
      </c>
      <c r="H12" s="2"/>
      <c r="I12" s="111" t="n">
        <f aca="false">IFERROR(I11/I9,0)</f>
        <v>0.826393887222245</v>
      </c>
      <c r="J12" s="111" t="n">
        <f aca="false">IFERROR(J11/J9,0)</f>
        <v>0.827530980777151</v>
      </c>
      <c r="K12" s="112" t="n">
        <f aca="false">IFERROR((I12-J12)*10000,0)</f>
        <v>-11.3709355490588</v>
      </c>
      <c r="L12" s="2"/>
      <c r="M12" s="111" t="n">
        <f aca="false">IFERROR(M11/M9,0)</f>
        <v>0.803246113216939</v>
      </c>
      <c r="N12" s="112" t="n">
        <f aca="false">IFERROR((I12-M12)*10000,0)</f>
        <v>231.477740053057</v>
      </c>
      <c r="O12" s="2"/>
      <c r="P12" s="2"/>
      <c r="Q12" s="2"/>
      <c r="R12" s="2"/>
      <c r="S12" s="2"/>
      <c r="T12" s="2"/>
    </row>
    <row r="13" customFormat="false" ht="17.25" hidden="false" customHeight="true" outlineLevel="0" collapsed="false">
      <c r="A13" s="113" t="s">
        <v>126</v>
      </c>
      <c r="B13" s="114" t="n">
        <v>1736.8</v>
      </c>
      <c r="C13" s="114" t="n">
        <v>1756.6</v>
      </c>
      <c r="D13" s="115" t="n">
        <f aca="false">C13-B13</f>
        <v>19.8</v>
      </c>
      <c r="E13" s="2"/>
      <c r="F13" s="114" t="n">
        <v>1416.2</v>
      </c>
      <c r="G13" s="116" t="n">
        <f aca="false">IFERROR((B13-F13)/ABS(F13),"-")</f>
        <v>0.226380454738031</v>
      </c>
      <c r="H13" s="2"/>
      <c r="I13" s="114" t="n">
        <v>1736.8</v>
      </c>
      <c r="J13" s="114" t="n">
        <v>1756.6</v>
      </c>
      <c r="K13" s="115" t="n">
        <f aca="false">J13-I13</f>
        <v>19.8</v>
      </c>
      <c r="L13" s="2"/>
      <c r="M13" s="114" t="n">
        <v>1416.2</v>
      </c>
      <c r="N13" s="116" t="n">
        <f aca="false">IFERROR((I13-M13)/ABS(M13),"-")</f>
        <v>0.226380454738031</v>
      </c>
      <c r="O13" s="2"/>
      <c r="P13" s="2"/>
      <c r="Q13" s="2"/>
      <c r="R13" s="2"/>
      <c r="S13" s="2"/>
      <c r="T13" s="2"/>
    </row>
    <row r="14" customFormat="false" ht="17.25" hidden="false" customHeight="true" outlineLevel="0" collapsed="false">
      <c r="A14" s="2" t="s">
        <v>127</v>
      </c>
      <c r="B14" s="104" t="n">
        <v>2302.1</v>
      </c>
      <c r="C14" s="104" t="n">
        <v>2550.5</v>
      </c>
      <c r="D14" s="105" t="n">
        <f aca="false">C14-B14</f>
        <v>248.4</v>
      </c>
      <c r="E14" s="2"/>
      <c r="F14" s="104" t="n">
        <v>1509.8</v>
      </c>
      <c r="G14" s="106" t="n">
        <f aca="false">IFERROR((B14-F14)/ABS(F14),"-")</f>
        <v>0.524771492912969</v>
      </c>
      <c r="H14" s="2"/>
      <c r="I14" s="104" t="n">
        <v>2302.1</v>
      </c>
      <c r="J14" s="104" t="n">
        <v>2550.5</v>
      </c>
      <c r="K14" s="105" t="n">
        <f aca="false">J14-I14</f>
        <v>248.4</v>
      </c>
      <c r="L14" s="2"/>
      <c r="M14" s="104" t="n">
        <v>1509.8</v>
      </c>
      <c r="N14" s="106" t="n">
        <f aca="false">IFERROR((I14-M14)/ABS(M14),"-")</f>
        <v>0.524771492912969</v>
      </c>
      <c r="O14" s="2"/>
      <c r="P14" s="2"/>
      <c r="Q14" s="2"/>
      <c r="R14" s="2"/>
      <c r="S14" s="2"/>
      <c r="T14" s="2"/>
    </row>
    <row r="15" customFormat="false" ht="17.25" hidden="false" customHeight="true" outlineLevel="0" collapsed="false">
      <c r="A15" s="2" t="s">
        <v>128</v>
      </c>
      <c r="B15" s="104" t="n">
        <v>692.9</v>
      </c>
      <c r="C15" s="104" t="n">
        <v>680.7</v>
      </c>
      <c r="D15" s="105" t="n">
        <f aca="false">C15-B15</f>
        <v>-12.1999999999999</v>
      </c>
      <c r="E15" s="2"/>
      <c r="F15" s="104" t="n">
        <v>628.7</v>
      </c>
      <c r="G15" s="106" t="n">
        <f aca="false">IFERROR((B15-F15)/ABS(F15),"-")</f>
        <v>0.102115476379831</v>
      </c>
      <c r="H15" s="2"/>
      <c r="I15" s="104" t="n">
        <v>692.9</v>
      </c>
      <c r="J15" s="104" t="n">
        <v>680.7</v>
      </c>
      <c r="K15" s="105" t="n">
        <f aca="false">J15-I15</f>
        <v>-12.1999999999999</v>
      </c>
      <c r="L15" s="2"/>
      <c r="M15" s="104" t="n">
        <v>628.7</v>
      </c>
      <c r="N15" s="106" t="n">
        <f aca="false">IFERROR((I15-M15)/ABS(M15),"-")</f>
        <v>0.102115476379831</v>
      </c>
      <c r="O15" s="2"/>
      <c r="P15" s="2"/>
      <c r="Q15" s="2"/>
      <c r="R15" s="2"/>
      <c r="S15" s="2"/>
      <c r="T15" s="2"/>
    </row>
    <row r="16" customFormat="false" ht="17.25" hidden="false" customHeight="true" outlineLevel="0" collapsed="false">
      <c r="A16" s="100" t="s">
        <v>129</v>
      </c>
      <c r="B16" s="101" t="n">
        <f aca="false">B13+B14+B15</f>
        <v>4731.8</v>
      </c>
      <c r="C16" s="101" t="n">
        <f aca="false">C13+C14+C15</f>
        <v>4987.8</v>
      </c>
      <c r="D16" s="102" t="n">
        <f aca="false">C16-B16</f>
        <v>256.000000000001</v>
      </c>
      <c r="E16" s="2"/>
      <c r="F16" s="101" t="n">
        <f aca="false">F13+F14+F15</f>
        <v>3554.7</v>
      </c>
      <c r="G16" s="103" t="n">
        <f aca="false">IFERROR((B16-F16)/ABS(F16),"-")</f>
        <v>0.33113905533519</v>
      </c>
      <c r="H16" s="2"/>
      <c r="I16" s="101" t="n">
        <f aca="false">I13+I14+I15</f>
        <v>4731.8</v>
      </c>
      <c r="J16" s="101" t="n">
        <f aca="false">J13+J14+J15</f>
        <v>4987.8</v>
      </c>
      <c r="K16" s="102" t="n">
        <f aca="false">J16-I16</f>
        <v>256.000000000001</v>
      </c>
      <c r="L16" s="2"/>
      <c r="M16" s="101" t="n">
        <f aca="false">M13+M14+M15</f>
        <v>3554.7</v>
      </c>
      <c r="N16" s="103" t="n">
        <f aca="false">IFERROR((I16-M16)/ABS(M16),"-")</f>
        <v>0.33113905533519</v>
      </c>
      <c r="O16" s="2"/>
      <c r="P16" s="2"/>
      <c r="Q16" s="2"/>
      <c r="R16" s="2"/>
      <c r="S16" s="2"/>
      <c r="T16" s="2"/>
    </row>
    <row r="17" s="117" customFormat="true" ht="17.25" hidden="false" customHeight="true" outlineLevel="0" collapsed="false">
      <c r="A17" s="107" t="s">
        <v>130</v>
      </c>
      <c r="B17" s="108" t="n">
        <f aca="false">B11-B16</f>
        <v>1008.96</v>
      </c>
      <c r="C17" s="108" t="n">
        <f aca="false">C11-C16</f>
        <v>980.129999999999</v>
      </c>
      <c r="D17" s="109" t="n">
        <f aca="false">B17-C17</f>
        <v>28.8300000000017</v>
      </c>
      <c r="E17" s="2"/>
      <c r="F17" s="108" t="n">
        <f aca="false">F11-F16</f>
        <v>511.87</v>
      </c>
      <c r="G17" s="110" t="n">
        <f aca="false">IFERROR((B17-F17)/ABS(F17),"-")</f>
        <v>0.971125481079181</v>
      </c>
      <c r="H17" s="2"/>
      <c r="I17" s="108" t="n">
        <f aca="false">I11-I16</f>
        <v>1008.96</v>
      </c>
      <c r="J17" s="108" t="n">
        <f aca="false">J11-J16</f>
        <v>980.129999999999</v>
      </c>
      <c r="K17" s="109" t="n">
        <f aca="false">I17-J17</f>
        <v>28.8300000000017</v>
      </c>
      <c r="L17" s="2"/>
      <c r="M17" s="108" t="n">
        <f aca="false">M11-M16</f>
        <v>511.87</v>
      </c>
      <c r="N17" s="110" t="n">
        <f aca="false">IFERROR((I17-M17)/ABS(M17),"-")</f>
        <v>0.971125481079181</v>
      </c>
      <c r="O17" s="2"/>
      <c r="P17" s="2"/>
      <c r="Q17" s="2"/>
      <c r="R17" s="2"/>
      <c r="S17" s="2"/>
      <c r="T17" s="2"/>
    </row>
    <row r="18" s="117" customFormat="true" ht="17.25" hidden="false" customHeight="true" outlineLevel="0" collapsed="false">
      <c r="A18" s="2" t="s">
        <v>131</v>
      </c>
      <c r="B18" s="111" t="n">
        <f aca="false">IFERROR(B17/B9,0)</f>
        <v>0.145241810570683</v>
      </c>
      <c r="C18" s="111" t="n">
        <f aca="false">IFERROR(C17/C9,0)</f>
        <v>0.135907750290152</v>
      </c>
      <c r="D18" s="112" t="n">
        <f aca="false">IFERROR((B18-C18)*10000,0)</f>
        <v>93.3406028053124</v>
      </c>
      <c r="E18" s="2"/>
      <c r="F18" s="111" t="n">
        <f aca="false">IFERROR(F17/F9,0)</f>
        <v>0.10110672826789</v>
      </c>
      <c r="G18" s="112" t="n">
        <f aca="false">IFERROR((B18-F18)*10000,0)</f>
        <v>441.350823027931</v>
      </c>
      <c r="H18" s="2"/>
      <c r="I18" s="111" t="n">
        <f aca="false">IFERROR(I17/I9,0)</f>
        <v>0.145241810570683</v>
      </c>
      <c r="J18" s="111" t="n">
        <f aca="false">IFERROR(J17/J9,0)</f>
        <v>0.135907750290152</v>
      </c>
      <c r="K18" s="112" t="n">
        <f aca="false">IFERROR((I18-J18)*10000,0)</f>
        <v>93.3406028053124</v>
      </c>
      <c r="L18" s="2"/>
      <c r="M18" s="111" t="n">
        <f aca="false">IFERROR(M17/M9,0)</f>
        <v>0.10110672826789</v>
      </c>
      <c r="N18" s="112" t="n">
        <f aca="false">IFERROR((I18-M18)*10000,0)</f>
        <v>441.350823027931</v>
      </c>
      <c r="O18" s="2"/>
      <c r="P18" s="2"/>
      <c r="Q18" s="2"/>
      <c r="R18" s="2"/>
      <c r="S18" s="2"/>
      <c r="T18" s="2"/>
    </row>
    <row r="19" s="117" customFormat="true" ht="17.25" hidden="false" customHeight="true" outlineLevel="0" collapsed="false">
      <c r="A19" s="118"/>
      <c r="B19" s="119"/>
      <c r="C19" s="119"/>
      <c r="D19" s="120"/>
      <c r="E19" s="118"/>
      <c r="F19" s="119"/>
      <c r="G19" s="120"/>
      <c r="H19" s="118"/>
      <c r="I19" s="119"/>
      <c r="J19" s="119"/>
      <c r="K19" s="120"/>
      <c r="L19" s="118"/>
      <c r="M19" s="119"/>
      <c r="N19" s="120"/>
      <c r="O19" s="118"/>
    </row>
    <row r="20" s="117" customFormat="true" ht="17.25" hidden="false" customHeight="true" outlineLevel="0" collapsed="false">
      <c r="A20" s="13" t="s">
        <v>132</v>
      </c>
      <c r="B20" s="119"/>
      <c r="C20" s="119"/>
      <c r="D20" s="120"/>
      <c r="E20" s="118"/>
      <c r="F20" s="119"/>
      <c r="G20" s="120"/>
      <c r="H20" s="118"/>
      <c r="I20" s="119"/>
      <c r="J20" s="119"/>
      <c r="K20" s="120"/>
      <c r="L20" s="118"/>
      <c r="M20" s="119"/>
      <c r="N20" s="120"/>
      <c r="O20" s="118"/>
    </row>
    <row r="21" customFormat="false" ht="17.25" hidden="false" customHeight="true" outlineLevel="0" collapsed="false">
      <c r="A21" s="121" t="s">
        <v>133</v>
      </c>
      <c r="B21" s="104" t="n">
        <v>26</v>
      </c>
      <c r="C21" s="104" t="n">
        <v>26</v>
      </c>
      <c r="D21" s="105" t="n">
        <f aca="false">C21-B21</f>
        <v>0</v>
      </c>
      <c r="E21" s="2"/>
      <c r="F21" s="104" t="n">
        <v>22</v>
      </c>
      <c r="G21" s="106" t="n">
        <f aca="false">IFERROR((B21-F21)/ABS(F21),"-")</f>
        <v>0.181818181818182</v>
      </c>
      <c r="H21" s="2"/>
      <c r="I21" s="104" t="n">
        <v>26</v>
      </c>
      <c r="J21" s="104" t="n">
        <v>26</v>
      </c>
      <c r="K21" s="105" t="n">
        <f aca="false">J21-I21</f>
        <v>0</v>
      </c>
      <c r="L21" s="2"/>
      <c r="M21" s="104" t="n">
        <v>22</v>
      </c>
      <c r="N21" s="106" t="n">
        <f aca="false">IFERROR((I21-M21)/ABS(M21),"-")</f>
        <v>0.181818181818182</v>
      </c>
      <c r="O21" s="2"/>
      <c r="P21" s="2"/>
      <c r="Q21" s="2"/>
      <c r="R21" s="2"/>
      <c r="S21" s="2"/>
      <c r="T21" s="2"/>
    </row>
    <row r="22" customFormat="false" ht="17.25" hidden="false" customHeight="true" outlineLevel="0" collapsed="false">
      <c r="A22" s="2" t="s">
        <v>134</v>
      </c>
      <c r="B22" s="104" t="n">
        <v>26</v>
      </c>
      <c r="C22" s="104" t="n">
        <v>26</v>
      </c>
      <c r="D22" s="105" t="n">
        <f aca="false">C22-B22</f>
        <v>0</v>
      </c>
      <c r="E22" s="2"/>
      <c r="F22" s="104" t="n">
        <v>21</v>
      </c>
      <c r="G22" s="106" t="n">
        <f aca="false">IFERROR((B22-F22)/ABS(F22),"-")</f>
        <v>0.238095238095238</v>
      </c>
      <c r="H22" s="2"/>
      <c r="I22" s="104" t="n">
        <v>26</v>
      </c>
      <c r="J22" s="104" t="n">
        <v>26</v>
      </c>
      <c r="K22" s="105" t="n">
        <f aca="false">J22-I22</f>
        <v>0</v>
      </c>
      <c r="L22" s="2"/>
      <c r="M22" s="104" t="n">
        <v>21</v>
      </c>
      <c r="N22" s="106" t="n">
        <f aca="false">IFERROR((I22-M22)/ABS(M22),"-")</f>
        <v>0.238095238095238</v>
      </c>
      <c r="O22" s="2"/>
      <c r="P22" s="2"/>
      <c r="Q22" s="2"/>
      <c r="R22" s="2"/>
      <c r="S22" s="2"/>
      <c r="T22" s="2"/>
    </row>
    <row r="23" customFormat="false" ht="17.25" hidden="false" customHeight="true" outlineLevel="0" collapsed="false">
      <c r="A23" s="2" t="s">
        <v>135</v>
      </c>
      <c r="B23" s="104" t="n">
        <v>35</v>
      </c>
      <c r="C23" s="104" t="n">
        <v>35</v>
      </c>
      <c r="D23" s="105" t="n">
        <f aca="false">C23-B23</f>
        <v>0</v>
      </c>
      <c r="E23" s="2"/>
      <c r="F23" s="104" t="n">
        <v>27</v>
      </c>
      <c r="G23" s="106" t="n">
        <f aca="false">IFERROR((B23-F23)/ABS(F23),"-")</f>
        <v>0.296296296296296</v>
      </c>
      <c r="H23" s="2"/>
      <c r="I23" s="104" t="n">
        <v>35</v>
      </c>
      <c r="J23" s="104" t="n">
        <v>35</v>
      </c>
      <c r="K23" s="105" t="n">
        <f aca="false">J23-I23</f>
        <v>0</v>
      </c>
      <c r="L23" s="2"/>
      <c r="M23" s="104" t="n">
        <v>27</v>
      </c>
      <c r="N23" s="106" t="n">
        <f aca="false">IFERROR((I23-M23)/ABS(M23),"-")</f>
        <v>0.296296296296296</v>
      </c>
      <c r="O23" s="2"/>
      <c r="P23" s="2"/>
      <c r="Q23" s="2"/>
      <c r="R23" s="2"/>
      <c r="S23" s="2"/>
      <c r="T23" s="2"/>
    </row>
    <row r="24" customFormat="false" ht="17.25" hidden="false" customHeight="true" outlineLevel="0" collapsed="false">
      <c r="A24" s="2" t="s">
        <v>136</v>
      </c>
      <c r="B24" s="104" t="n">
        <v>14</v>
      </c>
      <c r="C24" s="104" t="n">
        <v>13</v>
      </c>
      <c r="D24" s="105" t="n">
        <f aca="false">C24-B24</f>
        <v>-1</v>
      </c>
      <c r="E24" s="2"/>
      <c r="F24" s="104" t="n">
        <v>12</v>
      </c>
      <c r="G24" s="106" t="n">
        <f aca="false">IFERROR((B24-F24)/ABS(F24),"-")</f>
        <v>0.166666666666667</v>
      </c>
      <c r="H24" s="2"/>
      <c r="I24" s="104" t="n">
        <v>14</v>
      </c>
      <c r="J24" s="104" t="n">
        <v>13</v>
      </c>
      <c r="K24" s="105" t="n">
        <f aca="false">J24-I24</f>
        <v>-1</v>
      </c>
      <c r="L24" s="2"/>
      <c r="M24" s="104" t="n">
        <v>12</v>
      </c>
      <c r="N24" s="106" t="n">
        <f aca="false">IFERROR((I24-M24)/ABS(M24),"-")</f>
        <v>0.166666666666667</v>
      </c>
      <c r="O24" s="2"/>
      <c r="P24" s="2"/>
      <c r="Q24" s="2"/>
      <c r="R24" s="2"/>
      <c r="S24" s="2"/>
      <c r="T24" s="2"/>
    </row>
    <row r="25" customFormat="false" ht="17.25" hidden="false" customHeight="true" outlineLevel="0" collapsed="false">
      <c r="A25" s="122" t="s">
        <v>137</v>
      </c>
      <c r="B25" s="123" t="n">
        <f aca="false">B21+B22+B23+B24</f>
        <v>101</v>
      </c>
      <c r="C25" s="123" t="n">
        <f aca="false">C21+C22+C23+C24</f>
        <v>100</v>
      </c>
      <c r="D25" s="124" t="n">
        <f aca="false">C25-B25</f>
        <v>-1</v>
      </c>
      <c r="E25" s="2"/>
      <c r="F25" s="123" t="n">
        <f aca="false">F21+F22+F23+F24</f>
        <v>82</v>
      </c>
      <c r="G25" s="125" t="n">
        <f aca="false">IFERROR((B25-F25)/ABS(F25),"-")</f>
        <v>0.231707317073171</v>
      </c>
      <c r="H25" s="2"/>
      <c r="I25" s="123" t="n">
        <f aca="false">I21+I22+I23+I24</f>
        <v>101</v>
      </c>
      <c r="J25" s="123" t="n">
        <f aca="false">J21+J22+J23+J24</f>
        <v>100</v>
      </c>
      <c r="K25" s="124" t="n">
        <f aca="false">J25-I25</f>
        <v>-1</v>
      </c>
      <c r="L25" s="2"/>
      <c r="M25" s="123" t="n">
        <f aca="false">M21+M22+M23+M24</f>
        <v>82</v>
      </c>
      <c r="N25" s="125" t="n">
        <f aca="false">IFERROR((I25-M25)/ABS(M25),"-")</f>
        <v>0.231707317073171</v>
      </c>
      <c r="O25" s="2"/>
      <c r="P25" s="2"/>
      <c r="Q25" s="2"/>
      <c r="R25" s="2"/>
      <c r="S25" s="2"/>
      <c r="T25" s="2"/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3.5" hidden="false" customHeight="true" outlineLevel="0" collapsed="false">
      <c r="A27" s="13" t="s">
        <v>138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7.25" hidden="false" customHeight="true" outlineLevel="0" collapsed="false">
      <c r="A28" s="126" t="s">
        <v>139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7.25" hidden="false" customHeight="true" outlineLevel="0" collapsed="false">
      <c r="A29" s="126" t="s">
        <v>140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7.25" hidden="false" customHeight="true" outlineLevel="0" collapsed="false">
      <c r="A30" s="126" t="s">
        <v>141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7.25" hidden="false" customHeight="true" outlineLevel="0" collapsed="false">
      <c r="A31" s="126" t="s">
        <v>142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7.25" hidden="false" customHeight="true" outlineLevel="0" collapsed="false">
      <c r="A32" s="126" t="s">
        <v>143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2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2" hidden="false" customHeight="true" outlineLevel="0" collapsed="false">
      <c r="A34" s="127" t="s">
        <v>144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2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2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2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2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2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2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2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12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2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12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2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2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2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12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12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12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</sheetData>
  <mergeCells count="4">
    <mergeCell ref="B6:D6"/>
    <mergeCell ref="F6:G6"/>
    <mergeCell ref="I6:K6"/>
    <mergeCell ref="M6:N6"/>
  </mergeCells>
  <conditionalFormatting sqref="A8:D16 F8:G16">
    <cfRule type="expression" priority="2" aboveAverage="0" equalAverage="0" bottom="0" percent="0" rank="0" text="" dxfId="0">
      <formula>AND(C8=0,D8=0,E8=0,F8=0,G8=0)</formula>
    </cfRule>
  </conditionalFormatting>
  <conditionalFormatting sqref="I8:J16">
    <cfRule type="expression" priority="3" aboveAverage="0" equalAverage="0" bottom="0" percent="0" rank="0" text="" dxfId="0">
      <formula>AND(K8=0,L8=0,M8=0,N8=0,O8=0)</formula>
    </cfRule>
  </conditionalFormatting>
  <conditionalFormatting sqref="M8:M16">
    <cfRule type="expression" priority="4" aboveAverage="0" equalAverage="0" bottom="0" percent="0" rank="0" text="" dxfId="0">
      <formula>AND(O8=0,P8=0,#ref!=0,Q8=0,R8=0)</formula>
    </cfRule>
  </conditionalFormatting>
  <conditionalFormatting sqref="N8:N16">
    <cfRule type="expression" priority="5" aboveAverage="0" equalAverage="0" bottom="0" percent="0" rank="0" text="" dxfId="0">
      <formula>AND(P8=0,#ref!=0,Q8=0,R8=0,S8=0)</formula>
    </cfRule>
  </conditionalFormatting>
  <conditionalFormatting sqref="K8:K16">
    <cfRule type="expression" priority="6" aboveAverage="0" equalAverage="0" bottom="0" percent="0" rank="0" text="" dxfId="0">
      <formula>AND(M8=0,N8=0,O8=0,P8=0,#ref!=0)</formula>
    </cfRule>
  </conditionalFormatting>
  <conditionalFormatting sqref="D9:D21 K19:K21">
    <cfRule type="cellIs" priority="7" operator="lessThan" aboveAverage="0" equalAverage="0" bottom="0" percent="0" rank="0" text="" dxfId="1">
      <formula>0</formula>
    </cfRule>
  </conditionalFormatting>
  <conditionalFormatting sqref="D9">
    <cfRule type="cellIs" priority="8" operator="lessThan" aboveAverage="0" equalAverage="0" bottom="0" percent="0" rank="0" text="" dxfId="2">
      <formula>0</formula>
    </cfRule>
  </conditionalFormatting>
  <conditionalFormatting sqref="D11">
    <cfRule type="cellIs" priority="9" operator="lessThan" aboveAverage="0" equalAverage="0" bottom="0" percent="0" rank="0" text="" dxfId="2">
      <formula>0</formula>
    </cfRule>
  </conditionalFormatting>
  <conditionalFormatting sqref="D17">
    <cfRule type="cellIs" priority="10" operator="lessThan" aboveAverage="0" equalAverage="0" bottom="0" percent="0" rank="0" text="" dxfId="2">
      <formula>0</formula>
    </cfRule>
  </conditionalFormatting>
  <conditionalFormatting sqref="K9:K18">
    <cfRule type="cellIs" priority="11" operator="lessThan" aboveAverage="0" equalAverage="0" bottom="0" percent="0" rank="0" text="" dxfId="1">
      <formula>0</formula>
    </cfRule>
  </conditionalFormatting>
  <conditionalFormatting sqref="K9">
    <cfRule type="cellIs" priority="12" operator="lessThan" aboveAverage="0" equalAverage="0" bottom="0" percent="0" rank="0" text="" dxfId="2">
      <formula>0</formula>
    </cfRule>
  </conditionalFormatting>
  <conditionalFormatting sqref="K11">
    <cfRule type="cellIs" priority="13" operator="lessThan" aboveAverage="0" equalAverage="0" bottom="0" percent="0" rank="0" text="" dxfId="2">
      <formula>0</formula>
    </cfRule>
  </conditionalFormatting>
  <conditionalFormatting sqref="K17">
    <cfRule type="cellIs" priority="14" operator="lessThan" aboveAverage="0" equalAverage="0" bottom="0" percent="0" rank="0" text="" dxfId="2">
      <formula>0</formula>
    </cfRule>
  </conditionalFormatting>
  <conditionalFormatting sqref="D21">
    <cfRule type="cellIs" priority="15" operator="lessThan" aboveAverage="0" equalAverage="0" bottom="0" percent="0" rank="0" text="" dxfId="2">
      <formula>0</formula>
    </cfRule>
  </conditionalFormatting>
  <conditionalFormatting sqref="K21">
    <cfRule type="cellIs" priority="16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5" right="0.5" top="0.5" bottom="0.5" header="0.511811023622047" footer="0.511805555555556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&amp;K8a7e6eSetpoint• Finance  ·  Q1 2026  ·  Confidential&amp;R&amp;"Arial,Regular"&amp;8 &amp;K8a7e6eAll figures in $000s  ·  Budget = approved FY2026 plan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5C38"/>
    <pageSetUpPr fitToPage="true"/>
  </sheetPr>
  <dimension ref="A1:N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6.71484375" defaultRowHeight="15" zeroHeight="false" outlineLevelRow="0" outlineLevelCol="0"/>
  <cols>
    <col collapsed="false" customWidth="true" hidden="false" outlineLevel="0" max="1" min="1" style="128" width="26"/>
    <col collapsed="false" customWidth="true" hidden="false" outlineLevel="0" max="4" min="2" style="128" width="10"/>
    <col collapsed="false" customWidth="true" hidden="false" outlineLevel="0" max="5" min="5" style="128" width="1.57"/>
    <col collapsed="false" customWidth="true" hidden="false" outlineLevel="0" max="7" min="6" style="128" width="10"/>
    <col collapsed="false" customWidth="true" hidden="false" outlineLevel="0" max="8" min="8" style="128" width="1.57"/>
    <col collapsed="false" customWidth="true" hidden="false" outlineLevel="0" max="11" min="9" style="128" width="10"/>
    <col collapsed="false" customWidth="true" hidden="false" outlineLevel="0" max="12" min="12" style="128" width="1.57"/>
    <col collapsed="false" customWidth="true" hidden="false" outlineLevel="0" max="14" min="13" style="128" width="10"/>
    <col collapsed="false" customWidth="false" hidden="false" outlineLevel="0" max="16384" min="15" style="128" width="6.71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2" hidden="false" customHeight="true" outlineLevel="0" collapsed="false">
      <c r="A2" s="7" t="s">
        <v>145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0" hidden="false" customHeight="true" outlineLevel="0" collapsed="false">
      <c r="A3" s="87" t="s">
        <v>146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.75" hidden="false" customHeight="true" outlineLevel="0" collapsed="false">
      <c r="A4" s="88" t="s">
        <v>147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="129" customFormat="tru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="1" customFormat="true" ht="15.75" hidden="false" customHeight="true" outlineLevel="0" collapsed="false">
      <c r="A6" s="90"/>
      <c r="B6" s="91" t="s">
        <v>113</v>
      </c>
      <c r="C6" s="91"/>
      <c r="D6" s="91"/>
      <c r="E6" s="92"/>
      <c r="F6" s="91" t="s">
        <v>114</v>
      </c>
      <c r="G6" s="91"/>
      <c r="H6" s="92"/>
      <c r="I6" s="91" t="s">
        <v>115</v>
      </c>
      <c r="J6" s="91"/>
      <c r="K6" s="91"/>
      <c r="L6" s="92"/>
      <c r="M6" s="91" t="s">
        <v>114</v>
      </c>
      <c r="N6" s="91"/>
    </row>
    <row r="7" s="1" customFormat="true" ht="13.5" hidden="false" customHeight="true" outlineLevel="0" collapsed="false">
      <c r="A7" s="93"/>
      <c r="B7" s="94" t="s">
        <v>97</v>
      </c>
      <c r="C7" s="94" t="s">
        <v>98</v>
      </c>
      <c r="D7" s="94" t="s">
        <v>116</v>
      </c>
      <c r="E7" s="95"/>
      <c r="F7" s="94" t="s">
        <v>97</v>
      </c>
      <c r="G7" s="94" t="s">
        <v>117</v>
      </c>
      <c r="H7" s="95"/>
      <c r="I7" s="94" t="s">
        <v>97</v>
      </c>
      <c r="J7" s="94" t="s">
        <v>98</v>
      </c>
      <c r="K7" s="94" t="s">
        <v>116</v>
      </c>
      <c r="L7" s="95"/>
      <c r="M7" s="94" t="s">
        <v>97</v>
      </c>
      <c r="N7" s="94" t="s">
        <v>117</v>
      </c>
    </row>
    <row r="8" s="130" customFormat="true" ht="13.5" hidden="false" customHeight="true" outlineLevel="0" collapsed="false">
      <c r="A8" s="96"/>
      <c r="B8" s="97" t="s">
        <v>118</v>
      </c>
      <c r="C8" s="97" t="s">
        <v>118</v>
      </c>
      <c r="D8" s="97" t="s">
        <v>118</v>
      </c>
      <c r="E8" s="98"/>
      <c r="F8" s="97" t="s">
        <v>119</v>
      </c>
      <c r="G8" s="97" t="s">
        <v>120</v>
      </c>
      <c r="H8" s="98"/>
      <c r="I8" s="97" t="s">
        <v>121</v>
      </c>
      <c r="J8" s="97" t="s">
        <v>121</v>
      </c>
      <c r="K8" s="97" t="s">
        <v>121</v>
      </c>
      <c r="L8" s="98"/>
      <c r="M8" s="97" t="s">
        <v>122</v>
      </c>
      <c r="N8" s="97" t="s">
        <v>120</v>
      </c>
    </row>
    <row r="9" customFormat="false" ht="17.25" hidden="false" customHeight="true" outlineLevel="0" collapsed="false">
      <c r="A9" s="100" t="s">
        <v>105</v>
      </c>
      <c r="B9" s="101" t="n">
        <v>25000</v>
      </c>
      <c r="C9" s="101" t="n">
        <v>25000</v>
      </c>
      <c r="D9" s="102" t="n">
        <f aca="false">B9-C9</f>
        <v>0</v>
      </c>
      <c r="E9" s="2"/>
      <c r="F9" s="101" t="n">
        <v>19077</v>
      </c>
      <c r="G9" s="103" t="n">
        <f aca="false">IFERROR((B9-F9)/ABS(F9),"-")</f>
        <v>0.310478586779892</v>
      </c>
      <c r="H9" s="2"/>
      <c r="I9" s="101" t="n">
        <v>25000</v>
      </c>
      <c r="J9" s="101" t="n">
        <v>25000</v>
      </c>
      <c r="K9" s="102" t="n">
        <f aca="false">I9-J9</f>
        <v>0</v>
      </c>
      <c r="L9" s="2"/>
      <c r="M9" s="101" t="n">
        <v>19077</v>
      </c>
      <c r="N9" s="103" t="n">
        <f aca="false">IFERROR((I9-M9)/ABS(M9),"-")</f>
        <v>0.310478586779892</v>
      </c>
    </row>
    <row r="10" customFormat="false" ht="17.25" hidden="false" customHeight="true" outlineLevel="0" collapsed="false">
      <c r="A10" s="2" t="s">
        <v>106</v>
      </c>
      <c r="B10" s="104" t="n">
        <v>4627.31</v>
      </c>
      <c r="C10" s="104" t="n">
        <v>6770.4</v>
      </c>
      <c r="D10" s="105" t="n">
        <f aca="false">B10-C10</f>
        <v>-2143.09</v>
      </c>
      <c r="E10" s="2"/>
      <c r="F10" s="104" t="n">
        <v>1541.91</v>
      </c>
      <c r="G10" s="106" t="n">
        <f aca="false">IFERROR((B10-F10)/ABS(F10),"-")</f>
        <v>2.00102470312794</v>
      </c>
      <c r="H10" s="2"/>
      <c r="I10" s="104" t="n">
        <v>4627.31</v>
      </c>
      <c r="J10" s="104" t="n">
        <v>6770.4</v>
      </c>
      <c r="K10" s="105" t="n">
        <f aca="false">I10-J10</f>
        <v>-2143.09</v>
      </c>
      <c r="L10" s="2"/>
      <c r="M10" s="104" t="n">
        <v>1541.91</v>
      </c>
      <c r="N10" s="106" t="n">
        <f aca="false">IFERROR((I10-M10)/ABS(M10),"-")</f>
        <v>2.00102470312794</v>
      </c>
    </row>
    <row r="11" customFormat="false" ht="17.25" hidden="false" customHeight="true" outlineLevel="0" collapsed="false">
      <c r="A11" s="2" t="s">
        <v>148</v>
      </c>
      <c r="B11" s="104" t="n">
        <v>477.84</v>
      </c>
      <c r="C11" s="104" t="n">
        <v>574</v>
      </c>
      <c r="D11" s="105" t="n">
        <f aca="false">B11-C11</f>
        <v>-96.16</v>
      </c>
      <c r="E11" s="2"/>
      <c r="F11" s="104" t="n">
        <v>353.05</v>
      </c>
      <c r="G11" s="106" t="n">
        <f aca="false">IFERROR((B11-F11)/ABS(F11),"-")</f>
        <v>0.353462682339612</v>
      </c>
      <c r="H11" s="2"/>
      <c r="I11" s="104" t="n">
        <v>477.84</v>
      </c>
      <c r="J11" s="104" t="n">
        <v>574</v>
      </c>
      <c r="K11" s="105" t="n">
        <f aca="false">I11-J11</f>
        <v>-96.16</v>
      </c>
      <c r="L11" s="2"/>
      <c r="M11" s="104" t="n">
        <v>353.05</v>
      </c>
      <c r="N11" s="106" t="n">
        <f aca="false">IFERROR((I11-M11)/ABS(M11),"-")</f>
        <v>0.353462682339612</v>
      </c>
    </row>
    <row r="12" s="130" customFormat="true" ht="17.25" hidden="false" customHeight="true" outlineLevel="0" collapsed="false">
      <c r="A12" s="2" t="s">
        <v>149</v>
      </c>
      <c r="B12" s="104" t="n">
        <v>-134.84</v>
      </c>
      <c r="C12" s="104" t="n">
        <v>-114.8</v>
      </c>
      <c r="D12" s="105" t="n">
        <f aca="false">C12-B12</f>
        <v>20.04</v>
      </c>
      <c r="E12" s="2"/>
      <c r="F12" s="104" t="n">
        <v>-94.58</v>
      </c>
      <c r="G12" s="106" t="n">
        <f aca="false">IFERROR((B12-F12)/ABS(F12),"-")</f>
        <v>-0.425671389300064</v>
      </c>
      <c r="H12" s="2"/>
      <c r="I12" s="104" t="n">
        <v>-134.84</v>
      </c>
      <c r="J12" s="104" t="n">
        <v>-114.8</v>
      </c>
      <c r="K12" s="105" t="n">
        <f aca="false">J12-I12</f>
        <v>20.04</v>
      </c>
      <c r="L12" s="2"/>
      <c r="M12" s="104" t="n">
        <v>-94.58</v>
      </c>
      <c r="N12" s="106" t="n">
        <f aca="false">IFERROR((I12-M12)/ABS(M12),"-")</f>
        <v>-0.425671389300064</v>
      </c>
    </row>
    <row r="13" customFormat="false" ht="17.25" hidden="false" customHeight="true" outlineLevel="0" collapsed="false">
      <c r="A13" s="2" t="s">
        <v>150</v>
      </c>
      <c r="B13" s="104" t="n">
        <v>-330.31</v>
      </c>
      <c r="C13" s="104" t="n">
        <v>-229.6</v>
      </c>
      <c r="D13" s="105" t="n">
        <f aca="false">C13-B13</f>
        <v>100.71</v>
      </c>
      <c r="E13" s="2"/>
      <c r="F13" s="104" t="n">
        <v>-189.38</v>
      </c>
      <c r="G13" s="106" t="n">
        <f aca="false">IFERROR((B13-F13)/ABS(F13),"-")</f>
        <v>-0.744165170556553</v>
      </c>
      <c r="H13" s="2"/>
      <c r="I13" s="104" t="n">
        <v>-330.31</v>
      </c>
      <c r="J13" s="104" t="n">
        <v>-229.6</v>
      </c>
      <c r="K13" s="105" t="n">
        <f aca="false">J13-I13</f>
        <v>100.71</v>
      </c>
      <c r="L13" s="2"/>
      <c r="M13" s="104" t="n">
        <v>-189.38</v>
      </c>
      <c r="N13" s="106" t="n">
        <f aca="false">IFERROR((I13-M13)/ABS(M13),"-")</f>
        <v>-0.744165170556553</v>
      </c>
    </row>
    <row r="14" customFormat="false" ht="17.25" hidden="false" customHeight="true" outlineLevel="0" collapsed="false">
      <c r="A14" s="131" t="s">
        <v>151</v>
      </c>
      <c r="B14" s="132" t="n">
        <f aca="false">B10+B11+B12+B13</f>
        <v>4640</v>
      </c>
      <c r="C14" s="132" t="n">
        <f aca="false">C10+C11+C12+C13</f>
        <v>7000</v>
      </c>
      <c r="D14" s="133" t="n">
        <f aca="false">B14-C14</f>
        <v>-2360</v>
      </c>
      <c r="E14" s="2"/>
      <c r="F14" s="132" t="n">
        <f aca="false">F10+F11+F12+F13</f>
        <v>1611</v>
      </c>
      <c r="G14" s="134" t="n">
        <f aca="false">IFERROR((B14-F14)/ABS(F14),"-")</f>
        <v>1.88019863438858</v>
      </c>
      <c r="H14" s="2"/>
      <c r="I14" s="132" t="n">
        <f aca="false">I10+I11+I12+I13</f>
        <v>4640</v>
      </c>
      <c r="J14" s="132" t="n">
        <f aca="false">J10+J11+J12+J13</f>
        <v>7000</v>
      </c>
      <c r="K14" s="133" t="n">
        <f aca="false">I14-J14</f>
        <v>-2360</v>
      </c>
      <c r="L14" s="2"/>
      <c r="M14" s="132" t="n">
        <f aca="false">M10+M11+M12+M13</f>
        <v>1611</v>
      </c>
      <c r="N14" s="134" t="n">
        <f aca="false">IFERROR((I14-M14)/ABS(M14),"-")</f>
        <v>1.88019863438858</v>
      </c>
    </row>
    <row r="15" customFormat="false" ht="17.25" hidden="false" customHeight="true" outlineLevel="0" collapsed="false">
      <c r="A15" s="107" t="s">
        <v>73</v>
      </c>
      <c r="B15" s="108" t="n">
        <f aca="false">B9+B10+B11+B12+B13</f>
        <v>29640</v>
      </c>
      <c r="C15" s="108" t="n">
        <f aca="false">C9+C10+C11+C12+C13</f>
        <v>32000</v>
      </c>
      <c r="D15" s="109" t="n">
        <f aca="false">B15-C15</f>
        <v>-2360</v>
      </c>
      <c r="E15" s="2"/>
      <c r="F15" s="108" t="n">
        <f aca="false">F9+F10+F11+F12+F13</f>
        <v>20688</v>
      </c>
      <c r="G15" s="110" t="n">
        <f aca="false">IFERROR((B15-F15)/ABS(F15),"-")</f>
        <v>0.432714617169374</v>
      </c>
      <c r="H15" s="2"/>
      <c r="I15" s="108" t="n">
        <f aca="false">I9+I10+I11+I12+I13</f>
        <v>29640</v>
      </c>
      <c r="J15" s="108" t="n">
        <f aca="false">J9+J10+J11+J12+J13</f>
        <v>32000</v>
      </c>
      <c r="K15" s="109" t="n">
        <f aca="false">I15-J15</f>
        <v>-2360</v>
      </c>
      <c r="L15" s="2"/>
      <c r="M15" s="108" t="n">
        <f aca="false">M9+M10+M11+M12+M13</f>
        <v>20688</v>
      </c>
      <c r="N15" s="110" t="n">
        <f aca="false">IFERROR((I15-M15)/ABS(M15),"-")</f>
        <v>0.432714617169374</v>
      </c>
    </row>
    <row r="16" s="135" customFormat="true" ht="6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="135" customFormat="true" ht="12" hidden="false" customHeight="true" outlineLevel="0" collapsed="false">
      <c r="A17" s="7" t="s">
        <v>152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="135" customFormat="true" ht="17.25" hidden="false" customHeight="true" outlineLevel="0" collapsed="false">
      <c r="A18" s="113" t="s">
        <v>153</v>
      </c>
      <c r="B18" s="136" t="n">
        <v>0.018606</v>
      </c>
      <c r="C18" s="136" t="n">
        <v>0.013776</v>
      </c>
      <c r="D18" s="137" t="n">
        <f aca="false">IFERROR((B18-C18)*10000*-1,0)</f>
        <v>-48.3</v>
      </c>
      <c r="E18" s="2"/>
      <c r="F18" s="136" t="n">
        <v>0.014885</v>
      </c>
      <c r="G18" s="137" t="n">
        <f aca="false">IFERROR((B18-F18)*10000*-1,0)</f>
        <v>-37.21</v>
      </c>
      <c r="H18" s="2"/>
      <c r="I18" s="136" t="n">
        <v>0.018606</v>
      </c>
      <c r="J18" s="136" t="n">
        <v>0.013776</v>
      </c>
      <c r="K18" s="137" t="n">
        <f aca="false">IFERROR((I18-J18)*10000*-1,0)</f>
        <v>-48.3</v>
      </c>
      <c r="L18" s="2"/>
      <c r="M18" s="136" t="n">
        <v>0.014885</v>
      </c>
      <c r="N18" s="137" t="n">
        <f aca="false">IFERROR((I18-M18)*10000*-1,0)</f>
        <v>-37.21</v>
      </c>
    </row>
    <row r="19" s="135" customFormat="true" ht="17.25" hidden="false" customHeight="true" outlineLevel="0" collapsed="false">
      <c r="A19" s="2" t="s">
        <v>154</v>
      </c>
      <c r="B19" s="111" t="n">
        <v>0.019114</v>
      </c>
      <c r="C19" s="111" t="n">
        <v>0.02296</v>
      </c>
      <c r="D19" s="112" t="n">
        <f aca="false">IFERROR((B19-C19)*10000*1,0)</f>
        <v>-38.46</v>
      </c>
      <c r="E19" s="2"/>
      <c r="F19" s="111" t="n">
        <v>0.018507</v>
      </c>
      <c r="G19" s="112" t="n">
        <f aca="false">IFERROR((B19-F19)*10000*1,0)</f>
        <v>6.07</v>
      </c>
      <c r="H19" s="2"/>
      <c r="I19" s="111" t="n">
        <v>0.019114</v>
      </c>
      <c r="J19" s="111" t="n">
        <v>0.02296</v>
      </c>
      <c r="K19" s="112" t="n">
        <f aca="false">IFERROR((I19-J19)*10000*1,0)</f>
        <v>-38.46</v>
      </c>
      <c r="L19" s="2"/>
      <c r="M19" s="111" t="n">
        <v>0.018507</v>
      </c>
      <c r="N19" s="112" t="n">
        <f aca="false">IFERROR((I19-M19)*10000*1,0)</f>
        <v>6.07</v>
      </c>
    </row>
    <row r="20" s="135" customFormat="true" ht="17.25" hidden="false" customHeight="true" outlineLevel="0" collapsed="false">
      <c r="A20" s="2" t="s">
        <v>155</v>
      </c>
      <c r="B20" s="111" t="n">
        <v>0.981394</v>
      </c>
      <c r="C20" s="111" t="n">
        <v>0.986224</v>
      </c>
      <c r="D20" s="112" t="n">
        <f aca="false">IFERROR((B20-C20)*10000*1,0)</f>
        <v>-48.3</v>
      </c>
      <c r="E20" s="2"/>
      <c r="F20" s="111" t="n">
        <v>0.985115</v>
      </c>
      <c r="G20" s="112" t="n">
        <f aca="false">IFERROR((B20-F20)*10000*1,0)</f>
        <v>-37.2099999999997</v>
      </c>
      <c r="H20" s="2"/>
      <c r="I20" s="111" t="n">
        <v>0.981394</v>
      </c>
      <c r="J20" s="111" t="n">
        <v>0.986224</v>
      </c>
      <c r="K20" s="112" t="n">
        <f aca="false">IFERROR((I20-J20)*10000*1,0)</f>
        <v>-48.3</v>
      </c>
      <c r="L20" s="2"/>
      <c r="M20" s="111" t="n">
        <v>0.985115</v>
      </c>
      <c r="N20" s="112" t="n">
        <f aca="false">IFERROR((I20-M20)*10000*1,0)</f>
        <v>-37.2099999999997</v>
      </c>
    </row>
    <row r="21" customFormat="false" ht="17.25" hidden="false" customHeight="true" outlineLevel="0" collapsed="false">
      <c r="A21" s="2" t="s">
        <v>156</v>
      </c>
      <c r="B21" s="111" t="n">
        <v>1.000507</v>
      </c>
      <c r="C21" s="111" t="n">
        <v>1.009184</v>
      </c>
      <c r="D21" s="112" t="n">
        <f aca="false">IFERROR((B21-C21)*10000*1,0)</f>
        <v>-86.7700000000005</v>
      </c>
      <c r="E21" s="2"/>
      <c r="F21" s="111" t="n">
        <v>1.003622</v>
      </c>
      <c r="G21" s="112" t="n">
        <f aca="false">IFERROR((B21-F21)*10000*1,0)</f>
        <v>-31.1499999999998</v>
      </c>
      <c r="H21" s="2"/>
      <c r="I21" s="111" t="n">
        <v>1.000507</v>
      </c>
      <c r="J21" s="111" t="n">
        <v>1.009184</v>
      </c>
      <c r="K21" s="112" t="n">
        <f aca="false">IFERROR((I21-J21)*10000*1,0)</f>
        <v>-86.7700000000005</v>
      </c>
      <c r="L21" s="2"/>
      <c r="M21" s="111" t="n">
        <v>1.003622</v>
      </c>
      <c r="N21" s="112" t="n">
        <f aca="false">IFERROR((I21-M21)*10000*1,0)</f>
        <v>-31.1499999999998</v>
      </c>
    </row>
    <row r="22" customFormat="false" ht="17.25" hidden="false" customHeight="true" outlineLevel="0" collapsed="false">
      <c r="A22" s="138" t="s">
        <v>157</v>
      </c>
      <c r="B22" s="139" t="n">
        <f aca="false">IFERROR(B14/B9,0)</f>
        <v>0.1856</v>
      </c>
      <c r="C22" s="139" t="n">
        <f aca="false">IFERROR(C14/C9,0)</f>
        <v>0.28</v>
      </c>
      <c r="D22" s="140" t="n">
        <f aca="false">IFERROR((B22-C22)*10000,0)</f>
        <v>-944</v>
      </c>
      <c r="E22" s="2"/>
      <c r="F22" s="139" t="n">
        <f aca="false">IFERROR(F14/F9,0)</f>
        <v>0.0844472401320962</v>
      </c>
      <c r="G22" s="140" t="n">
        <f aca="false">IFERROR((B22-F22)*10000,0)</f>
        <v>1011.52759867904</v>
      </c>
      <c r="H22" s="2"/>
      <c r="I22" s="139" t="n">
        <f aca="false">IFERROR(I14/I9,0)</f>
        <v>0.1856</v>
      </c>
      <c r="J22" s="139" t="n">
        <f aca="false">IFERROR(J14/J9,0)</f>
        <v>0.28</v>
      </c>
      <c r="K22" s="140" t="n">
        <f aca="false">IFERROR((I22-J22)*10000,0)</f>
        <v>-944</v>
      </c>
      <c r="L22" s="2"/>
      <c r="M22" s="139" t="n">
        <f aca="false">IFERROR(M14/M9,0)</f>
        <v>0.0844472401320962</v>
      </c>
      <c r="N22" s="140" t="n">
        <f aca="false">IFERROR((I22-M22)*10000,0)</f>
        <v>1011.52759867904</v>
      </c>
    </row>
    <row r="23" customFormat="false" ht="7.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2" hidden="false" customHeight="true" outlineLevel="0" collapsed="false">
      <c r="A24" s="13" t="s">
        <v>138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3.5" hidden="false" customHeight="true" outlineLevel="0" collapsed="false">
      <c r="A25" s="126" t="s">
        <v>158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3.5" hidden="false" customHeight="true" outlineLevel="0" collapsed="false">
      <c r="A26" s="126" t="s">
        <v>159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3.5" hidden="false" customHeight="true" outlineLevel="0" collapsed="false">
      <c r="A27" s="126" t="s">
        <v>160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3.5" hidden="false" customHeight="true" outlineLevel="0" collapsed="false">
      <c r="A28" s="126" t="s">
        <v>161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3.5" hidden="false" customHeight="true" outlineLevel="0" collapsed="false">
      <c r="A29" s="126" t="s">
        <v>162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7.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9.75" hidden="false" customHeight="true" outlineLevel="0" collapsed="false">
      <c r="A31" s="141" t="s">
        <v>144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</sheetData>
  <mergeCells count="4">
    <mergeCell ref="B6:D6"/>
    <mergeCell ref="F6:G6"/>
    <mergeCell ref="I6:K6"/>
    <mergeCell ref="M6:N6"/>
  </mergeCells>
  <conditionalFormatting sqref="A8:D13 F8:G13">
    <cfRule type="expression" priority="2" aboveAverage="0" equalAverage="0" bottom="0" percent="0" rank="0" text="" dxfId="0">
      <formula>AND(C8=0,D8=0,E8=0,F8=0,G8=0)</formula>
    </cfRule>
  </conditionalFormatting>
  <conditionalFormatting sqref="D9:D15">
    <cfRule type="cellIs" priority="3" operator="lessThan" aboveAverage="0" equalAverage="0" bottom="0" percent="0" rank="0" text="" dxfId="1">
      <formula>0</formula>
    </cfRule>
  </conditionalFormatting>
  <conditionalFormatting sqref="D9">
    <cfRule type="cellIs" priority="4" operator="lessThan" aboveAverage="0" equalAverage="0" bottom="0" percent="0" rank="0" text="" dxfId="2">
      <formula>0</formula>
    </cfRule>
  </conditionalFormatting>
  <conditionalFormatting sqref="D14:D15">
    <cfRule type="cellIs" priority="5" operator="lessThan" aboveAverage="0" equalAverage="0" bottom="0" percent="0" rank="0" text="" dxfId="2">
      <formula>0</formula>
    </cfRule>
  </conditionalFormatting>
  <conditionalFormatting sqref="D18">
    <cfRule type="cellIs" priority="6" operator="greaterThan" aboveAverage="0" equalAverage="0" bottom="0" percent="0" rank="0" text="" dxfId="1">
      <formula>0</formula>
    </cfRule>
  </conditionalFormatting>
  <conditionalFormatting sqref="D19:D22">
    <cfRule type="cellIs" priority="7" operator="lessThan" aboveAverage="0" equalAverage="0" bottom="0" percent="0" rank="0" text="" dxfId="1">
      <formula>0</formula>
    </cfRule>
  </conditionalFormatting>
  <conditionalFormatting sqref="K9:K15">
    <cfRule type="cellIs" priority="8" operator="lessThan" aboveAverage="0" equalAverage="0" bottom="0" percent="0" rank="0" text="" dxfId="1">
      <formula>0</formula>
    </cfRule>
  </conditionalFormatting>
  <conditionalFormatting sqref="K9">
    <cfRule type="cellIs" priority="9" operator="lessThan" aboveAverage="0" equalAverage="0" bottom="0" percent="0" rank="0" text="" dxfId="2">
      <formula>0</formula>
    </cfRule>
  </conditionalFormatting>
  <conditionalFormatting sqref="K14:K15">
    <cfRule type="cellIs" priority="10" operator="lessThan" aboveAverage="0" equalAverage="0" bottom="0" percent="0" rank="0" text="" dxfId="2">
      <formula>0</formula>
    </cfRule>
  </conditionalFormatting>
  <conditionalFormatting sqref="K18">
    <cfRule type="cellIs" priority="11" operator="greaterThan" aboveAverage="0" equalAverage="0" bottom="0" percent="0" rank="0" text="" dxfId="1">
      <formula>0</formula>
    </cfRule>
  </conditionalFormatting>
  <conditionalFormatting sqref="K19:K22">
    <cfRule type="cellIs" priority="12" operator="lessThan" aboveAverage="0" equalAverage="0" bottom="0" percent="0" rank="0" text="" dxfId="1">
      <formula>0</formula>
    </cfRule>
  </conditionalFormatting>
  <conditionalFormatting sqref="I8:J13">
    <cfRule type="expression" priority="13" aboveAverage="0" equalAverage="0" bottom="0" percent="0" rank="0" text="" dxfId="0">
      <formula>AND(K8=0,L8=0,M8=0,N8=0,#ref!=0)</formula>
    </cfRule>
  </conditionalFormatting>
  <conditionalFormatting sqref="K8:K13">
    <cfRule type="expression" priority="14" aboveAverage="0" equalAverage="0" bottom="0" percent="0" rank="0" text="" dxfId="0">
      <formula>AND(M8=0,N8=0,#ref!=0,#ref!=0,#ref!=0)</formula>
    </cfRule>
  </conditionalFormatting>
  <conditionalFormatting sqref="M8:N13">
    <cfRule type="expression" priority="15" aboveAverage="0" equalAverage="0" bottom="0" percent="0" rank="0" text="" dxfId="0">
      <formula>AND(#ref!=0,#ref!=0,#ref!=0,#ref!=0,#ref!=0)</formula>
    </cfRule>
  </conditionalFormatting>
  <printOptions headings="false" gridLines="false" gridLinesSet="true" horizontalCentered="false" verticalCentered="false"/>
  <pageMargins left="0.5" right="0.5" top="0.5" bottom="0.5" header="0.511811023622047" footer="0.511805555555556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&amp;K8a7e6eSetpoint• Finance  ·  Q1 2026  ·  Confidential&amp;R&amp;"Arial,Regular"&amp;8 &amp;K8a7e6eAll figures in $000s  ·  Budget = approved FY2026 plan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5C38"/>
    <pageSetUpPr fitToPage="true"/>
  </sheetPr>
  <dimension ref="A1:T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703125" defaultRowHeight="15" zeroHeight="false" outlineLevelRow="0" outlineLevelCol="0"/>
  <cols>
    <col collapsed="false" customWidth="true" hidden="false" outlineLevel="0" max="1" min="1" style="142" width="26"/>
    <col collapsed="false" customWidth="true" hidden="false" outlineLevel="0" max="6" min="2" style="142" width="10"/>
    <col collapsed="false" customWidth="true" hidden="false" outlineLevel="0" max="7" min="7" style="142" width="2"/>
    <col collapsed="false" customWidth="true" hidden="false" outlineLevel="0" max="11" min="8" style="142" width="10"/>
    <col collapsed="false" customWidth="false" hidden="false" outlineLevel="0" max="16384" min="12" style="142" width="7.57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2" hidden="false" customHeight="true" outlineLevel="0" collapsed="false">
      <c r="A2" s="7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30" hidden="false" customHeight="true" outlineLevel="0" collapsed="false">
      <c r="A3" s="87" t="s">
        <v>164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.75" hidden="false" customHeight="true" outlineLevel="0" collapsed="false">
      <c r="A4" s="88" t="s">
        <v>165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15.75" hidden="false" customHeight="true" outlineLevel="0" collapsed="false">
      <c r="A6" s="90"/>
      <c r="B6" s="91" t="s">
        <v>39</v>
      </c>
      <c r="C6" s="91"/>
      <c r="D6" s="91"/>
      <c r="E6" s="91"/>
      <c r="F6" s="91"/>
      <c r="G6" s="92"/>
      <c r="H6" s="91" t="s">
        <v>166</v>
      </c>
      <c r="I6" s="91"/>
      <c r="J6" s="91"/>
      <c r="K6" s="2"/>
      <c r="L6" s="2"/>
      <c r="M6" s="2"/>
      <c r="N6" s="2"/>
      <c r="O6" s="2"/>
      <c r="P6" s="2"/>
      <c r="Q6" s="2"/>
      <c r="R6" s="2"/>
      <c r="S6" s="2"/>
      <c r="T6" s="2"/>
    </row>
    <row r="7" customFormat="false" ht="13.5" hidden="false" customHeight="true" outlineLevel="0" collapsed="false">
      <c r="A7" s="93"/>
      <c r="B7" s="94" t="s">
        <v>167</v>
      </c>
      <c r="C7" s="94" t="s">
        <v>168</v>
      </c>
      <c r="D7" s="94" t="s">
        <v>169</v>
      </c>
      <c r="E7" s="94" t="s">
        <v>170</v>
      </c>
      <c r="F7" s="94" t="s">
        <v>171</v>
      </c>
      <c r="G7" s="95"/>
      <c r="H7" s="94" t="s">
        <v>172</v>
      </c>
      <c r="I7" s="94" t="s">
        <v>173</v>
      </c>
      <c r="J7" s="94" t="s">
        <v>174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="143" customFormat="true" ht="13.5" hidden="false" customHeight="true" outlineLevel="0" collapsed="false">
      <c r="A8" s="96"/>
      <c r="B8" s="97" t="s">
        <v>175</v>
      </c>
      <c r="C8" s="97" t="s">
        <v>175</v>
      </c>
      <c r="D8" s="97" t="s">
        <v>175</v>
      </c>
      <c r="E8" s="97" t="s">
        <v>175</v>
      </c>
      <c r="F8" s="97" t="s">
        <v>175</v>
      </c>
      <c r="G8" s="98"/>
      <c r="H8" s="97" t="s">
        <v>175</v>
      </c>
      <c r="I8" s="97" t="s">
        <v>176</v>
      </c>
      <c r="J8" s="97" t="s">
        <v>176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customFormat="false" ht="17.25" hidden="false" customHeight="true" outlineLevel="0" collapsed="false">
      <c r="A9" s="100" t="s">
        <v>99</v>
      </c>
      <c r="B9" s="144" t="n">
        <v>6946.8</v>
      </c>
      <c r="C9" s="144" t="n">
        <v>8469.8</v>
      </c>
      <c r="D9" s="144" t="n">
        <v>10398.9</v>
      </c>
      <c r="E9" s="144" t="n">
        <v>12339.6</v>
      </c>
      <c r="F9" s="101" t="n">
        <f aca="false">B9+C9+D9+E9</f>
        <v>38155.1</v>
      </c>
      <c r="G9" s="145"/>
      <c r="H9" s="144" t="n">
        <v>40929.8</v>
      </c>
      <c r="I9" s="146" t="n">
        <f aca="false">F9-H9</f>
        <v>-2774.7</v>
      </c>
      <c r="J9" s="147" t="n">
        <f aca="false">IFERROR((F9-H9)/ABS(H9),"-")</f>
        <v>-0.0677916823439158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s="143" customFormat="true" ht="17.25" hidden="false" customHeight="true" outlineLevel="0" collapsed="false">
      <c r="A10" s="2" t="s">
        <v>123</v>
      </c>
      <c r="B10" s="148" t="n">
        <v>1206</v>
      </c>
      <c r="C10" s="148" t="n">
        <v>1720.6</v>
      </c>
      <c r="D10" s="148" t="n">
        <v>1920.3</v>
      </c>
      <c r="E10" s="148" t="n">
        <v>2078.6</v>
      </c>
      <c r="F10" s="104" t="n">
        <f aca="false">B10+C10+D10+E10</f>
        <v>6925.5</v>
      </c>
      <c r="G10" s="149"/>
      <c r="H10" s="148" t="n">
        <v>5927.9</v>
      </c>
      <c r="I10" s="150" t="n">
        <f aca="false">F10-H10</f>
        <v>997.6</v>
      </c>
      <c r="J10" s="151" t="n">
        <f aca="false">IFERROR((F10-H10)/ABS(H10),"-")</f>
        <v>0.16828893874728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7.25" hidden="false" customHeight="true" outlineLevel="0" collapsed="false">
      <c r="A11" s="131" t="s">
        <v>124</v>
      </c>
      <c r="B11" s="152" t="n">
        <f aca="false">B9-B10</f>
        <v>5740.8</v>
      </c>
      <c r="C11" s="152" t="n">
        <f aca="false">C9-C10</f>
        <v>6749.2</v>
      </c>
      <c r="D11" s="152" t="n">
        <f aca="false">D9-D10</f>
        <v>8478.6</v>
      </c>
      <c r="E11" s="152" t="n">
        <f aca="false">E9-E10</f>
        <v>10261</v>
      </c>
      <c r="F11" s="132" t="n">
        <f aca="false">F9-F10</f>
        <v>31229.6</v>
      </c>
      <c r="G11" s="145"/>
      <c r="H11" s="152" t="n">
        <f aca="false">H9-H10</f>
        <v>35001.9</v>
      </c>
      <c r="I11" s="153" t="n">
        <f aca="false">F11-H11</f>
        <v>-3772.3</v>
      </c>
      <c r="J11" s="154" t="n">
        <f aca="false">IFERROR((F11-H11)/ABS(H11),"-")</f>
        <v>-0.107774149403318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17.25" hidden="false" customHeight="true" outlineLevel="0" collapsed="false">
      <c r="A12" s="2" t="s">
        <v>125</v>
      </c>
      <c r="B12" s="155" t="n">
        <f aca="false">B11/B9</f>
        <v>0.826394886854379</v>
      </c>
      <c r="C12" s="155" t="n">
        <f aca="false">C11/C9</f>
        <v>0.796854707313042</v>
      </c>
      <c r="D12" s="155" t="n">
        <f aca="false">D11/D9</f>
        <v>0.815336237486657</v>
      </c>
      <c r="E12" s="155" t="n">
        <f aca="false">E11/E9</f>
        <v>0.831550455444261</v>
      </c>
      <c r="F12" s="111" t="n">
        <f aca="false">F11/F9</f>
        <v>0.818490843950088</v>
      </c>
      <c r="G12" s="156"/>
      <c r="H12" s="155" t="n">
        <f aca="false">H11/H9</f>
        <v>0.855169094400657</v>
      </c>
      <c r="I12" s="157" t="n">
        <f aca="false">(F12-H12)*10000</f>
        <v>-366.782504505687</v>
      </c>
      <c r="J12" s="151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17.25" hidden="false" customHeight="true" outlineLevel="0" collapsed="false">
      <c r="A13" s="113" t="s">
        <v>126</v>
      </c>
      <c r="B13" s="158" t="n">
        <v>1736.8</v>
      </c>
      <c r="C13" s="158" t="n">
        <v>1995</v>
      </c>
      <c r="D13" s="158" t="n">
        <v>2288.9</v>
      </c>
      <c r="E13" s="158" t="n">
        <v>2516.1</v>
      </c>
      <c r="F13" s="114" t="n">
        <f aca="false">B13+C13+D13+E13</f>
        <v>8536.8</v>
      </c>
      <c r="G13" s="149"/>
      <c r="H13" s="158" t="n">
        <v>8770.9</v>
      </c>
      <c r="I13" s="159" t="n">
        <f aca="false">F13-H13</f>
        <v>-234.099999999999</v>
      </c>
      <c r="J13" s="160" t="n">
        <f aca="false">IFERROR((F13-H13)/ABS(H13),"-")</f>
        <v>-0.0266905334686291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7.25" hidden="false" customHeight="true" outlineLevel="0" collapsed="false">
      <c r="A14" s="2" t="s">
        <v>127</v>
      </c>
      <c r="B14" s="148" t="n">
        <v>2302.1</v>
      </c>
      <c r="C14" s="148" t="n">
        <v>4182.4</v>
      </c>
      <c r="D14" s="148" t="n">
        <v>4925.8</v>
      </c>
      <c r="E14" s="148" t="n">
        <v>5522.2</v>
      </c>
      <c r="F14" s="104" t="n">
        <f aca="false">B14+C14+D14+E14</f>
        <v>16932.5</v>
      </c>
      <c r="G14" s="149"/>
      <c r="H14" s="148" t="n">
        <v>13169.2</v>
      </c>
      <c r="I14" s="150" t="n">
        <f aca="false">F14-H14</f>
        <v>3763.3</v>
      </c>
      <c r="J14" s="151" t="n">
        <f aca="false">IFERROR((F14-H14)/ABS(H14),"-")</f>
        <v>0.285765270479604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="143" customFormat="true" ht="17.25" hidden="false" customHeight="true" outlineLevel="0" collapsed="false">
      <c r="A15" s="2" t="s">
        <v>128</v>
      </c>
      <c r="B15" s="148" t="n">
        <v>692.9</v>
      </c>
      <c r="C15" s="148" t="n">
        <v>596.2</v>
      </c>
      <c r="D15" s="148" t="n">
        <v>633.8</v>
      </c>
      <c r="E15" s="148" t="n">
        <v>663.4</v>
      </c>
      <c r="F15" s="104" t="n">
        <f aca="false">B15+C15+D15+E15</f>
        <v>2586.3</v>
      </c>
      <c r="G15" s="149"/>
      <c r="H15" s="148" t="n">
        <v>3172</v>
      </c>
      <c r="I15" s="150" t="n">
        <f aca="false">F15-H15</f>
        <v>-585.7</v>
      </c>
      <c r="J15" s="151" t="n">
        <f aca="false">IFERROR((F15-H15)/ABS(H15),"-")</f>
        <v>-0.184646910466583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="143" customFormat="true" ht="17.25" hidden="false" customHeight="true" outlineLevel="0" collapsed="false">
      <c r="A16" s="100" t="s">
        <v>129</v>
      </c>
      <c r="B16" s="144" t="n">
        <f aca="false">SUM(B13:B15)</f>
        <v>4731.8</v>
      </c>
      <c r="C16" s="144" t="n">
        <f aca="false">SUM(C13:C15)</f>
        <v>6773.6</v>
      </c>
      <c r="D16" s="144" t="n">
        <f aca="false">SUM(D13:D15)</f>
        <v>7848.5</v>
      </c>
      <c r="E16" s="144" t="n">
        <f aca="false">SUM(E13:E15)</f>
        <v>8701.7</v>
      </c>
      <c r="F16" s="101" t="n">
        <f aca="false">SUM(F13:F15)</f>
        <v>28055.6</v>
      </c>
      <c r="G16" s="145"/>
      <c r="H16" s="144" t="n">
        <f aca="false">SUM(H13:H15)</f>
        <v>25112.1</v>
      </c>
      <c r="I16" s="146" t="n">
        <f aca="false">F16-H16</f>
        <v>2943.5</v>
      </c>
      <c r="J16" s="147" t="n">
        <f aca="false">IFERROR((F16-H16)/ABS(H16),"-")</f>
        <v>0.117214410582946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7.25" hidden="false" customHeight="true" outlineLevel="0" collapsed="false">
      <c r="A17" s="107" t="s">
        <v>130</v>
      </c>
      <c r="B17" s="161" t="n">
        <f aca="false">B11-B16</f>
        <v>1009</v>
      </c>
      <c r="C17" s="161" t="n">
        <f aca="false">C11-C16</f>
        <v>-24.4000000000005</v>
      </c>
      <c r="D17" s="161" t="n">
        <f aca="false">D11-D16</f>
        <v>630.1</v>
      </c>
      <c r="E17" s="161" t="n">
        <f aca="false">E11-E16</f>
        <v>1559.3</v>
      </c>
      <c r="F17" s="108" t="n">
        <f aca="false">F11-F16</f>
        <v>3174</v>
      </c>
      <c r="G17" s="162"/>
      <c r="H17" s="161" t="n">
        <f aca="false">H11-H16</f>
        <v>9889.8</v>
      </c>
      <c r="I17" s="163" t="n">
        <f aca="false">F17-H17</f>
        <v>-6715.80000000001</v>
      </c>
      <c r="J17" s="164" t="n">
        <f aca="false">IFERROR((F17-H17)/ABS(H17),"-")</f>
        <v>-0.679063277316023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7.25" hidden="false" customHeight="true" outlineLevel="0" collapsed="false">
      <c r="A18" s="2" t="s">
        <v>131</v>
      </c>
      <c r="B18" s="155" t="n">
        <f aca="false">B17/B9</f>
        <v>0.145246732308401</v>
      </c>
      <c r="C18" s="155" t="n">
        <f aca="false">C17/C9</f>
        <v>-0.00288082363219917</v>
      </c>
      <c r="D18" s="155" t="n">
        <f aca="false">D17/D9</f>
        <v>0.0605929473309677</v>
      </c>
      <c r="E18" s="155" t="n">
        <f aca="false">E17/E9</f>
        <v>0.126365522383222</v>
      </c>
      <c r="F18" s="111" t="n">
        <f aca="false">F17/F9</f>
        <v>0.0831867823698535</v>
      </c>
      <c r="G18" s="156"/>
      <c r="H18" s="155" t="n">
        <f aca="false">H17/H9</f>
        <v>0.24162834902687</v>
      </c>
      <c r="I18" s="157" t="n">
        <f aca="false">(F18-H18)*10000</f>
        <v>-1584.41566657017</v>
      </c>
      <c r="J18" s="151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6" hidden="false" customHeight="true" outlineLevel="0" collapsed="false">
      <c r="A19" s="165"/>
      <c r="B19" s="166"/>
      <c r="C19" s="166"/>
      <c r="D19" s="166"/>
      <c r="E19" s="166"/>
      <c r="F19" s="166"/>
      <c r="G19" s="167"/>
      <c r="H19" s="166"/>
      <c r="I19" s="167"/>
      <c r="J19" s="168"/>
      <c r="K19" s="118"/>
    </row>
    <row r="20" customFormat="false" ht="17.25" hidden="false" customHeight="true" outlineLevel="0" collapsed="false">
      <c r="A20" s="169"/>
      <c r="B20" s="170"/>
      <c r="C20" s="170"/>
      <c r="D20" s="170"/>
      <c r="E20" s="170"/>
      <c r="F20" s="170"/>
      <c r="G20" s="171"/>
      <c r="H20" s="170"/>
      <c r="I20" s="171"/>
      <c r="J20" s="172"/>
      <c r="K20" s="118"/>
    </row>
    <row r="21" customFormat="false" ht="17.25" hidden="false" customHeight="true" outlineLevel="0" collapsed="false">
      <c r="A21" s="7" t="s">
        <v>132</v>
      </c>
      <c r="B21" s="173"/>
      <c r="C21" s="173"/>
      <c r="D21" s="173"/>
      <c r="E21" s="173"/>
      <c r="F21" s="174"/>
      <c r="G21" s="175"/>
      <c r="H21" s="173"/>
      <c r="I21" s="17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2.75" hidden="false" customHeight="true" outlineLevel="0" collapsed="false">
      <c r="A22" s="113" t="s">
        <v>133</v>
      </c>
      <c r="B22" s="176" t="n">
        <v>26</v>
      </c>
      <c r="C22" s="176" t="n">
        <v>30</v>
      </c>
      <c r="D22" s="176" t="n">
        <v>32</v>
      </c>
      <c r="E22" s="176" t="n">
        <v>34</v>
      </c>
      <c r="F22" s="176" t="n">
        <f aca="false">E22</f>
        <v>34</v>
      </c>
      <c r="G22" s="176"/>
      <c r="H22" s="176" t="n">
        <v>34</v>
      </c>
      <c r="I22" s="176" t="n">
        <f aca="false">F22-H22</f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2.75" hidden="false" customHeight="true" outlineLevel="0" collapsed="false">
      <c r="A23" s="177" t="s">
        <v>134</v>
      </c>
      <c r="B23" s="178" t="n">
        <v>26</v>
      </c>
      <c r="C23" s="178" t="n">
        <v>32</v>
      </c>
      <c r="D23" s="178" t="n">
        <v>36</v>
      </c>
      <c r="E23" s="178" t="n">
        <v>39</v>
      </c>
      <c r="F23" s="179" t="n">
        <f aca="false">E23</f>
        <v>39</v>
      </c>
      <c r="G23" s="175"/>
      <c r="H23" s="178" t="n">
        <v>39</v>
      </c>
      <c r="I23" s="180" t="n">
        <f aca="false">F23-H23</f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2.75" hidden="false" customHeight="true" outlineLevel="0" collapsed="false">
      <c r="A24" s="177" t="s">
        <v>135</v>
      </c>
      <c r="B24" s="178" t="n">
        <v>35</v>
      </c>
      <c r="C24" s="178" t="n">
        <v>49</v>
      </c>
      <c r="D24" s="178" t="n">
        <v>57</v>
      </c>
      <c r="E24" s="178" t="n">
        <v>63</v>
      </c>
      <c r="F24" s="179" t="n">
        <f aca="false">E24</f>
        <v>63</v>
      </c>
      <c r="G24" s="175"/>
      <c r="H24" s="178" t="n">
        <v>58</v>
      </c>
      <c r="I24" s="180" t="n">
        <f aca="false">F24-H24</f>
        <v>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2.75" hidden="false" customHeight="true" outlineLevel="0" collapsed="false">
      <c r="A25" s="177" t="s">
        <v>136</v>
      </c>
      <c r="B25" s="178" t="n">
        <v>14</v>
      </c>
      <c r="C25" s="178" t="n">
        <v>15</v>
      </c>
      <c r="D25" s="178" t="n">
        <v>16</v>
      </c>
      <c r="E25" s="178" t="n">
        <v>17</v>
      </c>
      <c r="F25" s="179" t="n">
        <f aca="false">E25</f>
        <v>17</v>
      </c>
      <c r="G25" s="175"/>
      <c r="H25" s="178" t="n">
        <v>17</v>
      </c>
      <c r="I25" s="180" t="n">
        <f aca="false">F25-H25</f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2.75" hidden="false" customHeight="true" outlineLevel="0" collapsed="false">
      <c r="A26" s="11" t="s">
        <v>137</v>
      </c>
      <c r="B26" s="181" t="n">
        <f aca="false">SUM(B22:B25)</f>
        <v>101</v>
      </c>
      <c r="C26" s="181" t="n">
        <f aca="false">SUM(C22:C25)</f>
        <v>126</v>
      </c>
      <c r="D26" s="181" t="n">
        <f aca="false">SUM(D22:D25)</f>
        <v>141</v>
      </c>
      <c r="E26" s="181" t="n">
        <f aca="false">SUM(E22:E25)</f>
        <v>153</v>
      </c>
      <c r="F26" s="182" t="n">
        <f aca="false">E26</f>
        <v>153</v>
      </c>
      <c r="G26" s="183"/>
      <c r="H26" s="181" t="n">
        <f aca="false">SUM(H22:H25)</f>
        <v>148</v>
      </c>
      <c r="I26" s="184" t="n">
        <f aca="false">F26-H26</f>
        <v>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5" hidden="false" customHeight="true" outlineLevel="0" collapsed="false">
      <c r="A28" s="12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</sheetData>
  <mergeCells count="2">
    <mergeCell ref="B6:F6"/>
    <mergeCell ref="H6:J6"/>
  </mergeCells>
  <conditionalFormatting sqref="I9:I18 I20:I21">
    <cfRule type="cellIs" priority="2" operator="lessThan" aboveAverage="0" equalAverage="0" bottom="0" percent="0" rank="0" text="" dxfId="1">
      <formula>0</formula>
    </cfRule>
  </conditionalFormatting>
  <conditionalFormatting sqref="I9">
    <cfRule type="cellIs" priority="3" operator="lessThan" aboveAverage="0" equalAverage="0" bottom="0" percent="0" rank="0" text="" dxfId="2">
      <formula>0</formula>
    </cfRule>
  </conditionalFormatting>
  <conditionalFormatting sqref="I11">
    <cfRule type="cellIs" priority="4" operator="lessThan" aboveAverage="0" equalAverage="0" bottom="0" percent="0" rank="0" text="" dxfId="2">
      <formula>0</formula>
    </cfRule>
  </conditionalFormatting>
  <conditionalFormatting sqref="I17">
    <cfRule type="cellIs" priority="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5" right="0.5" top="0.5" bottom="0.5" header="0.511811023622047" footer="0.511805555555556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&amp;K8a7e6eSetpoint• Finance  ·  FY 2026  ·  Confidential&amp;R&amp;"Arial,Regular"&amp;8 &amp;K8a7e6eAll figures in $000s  ·  Budget = approved FY2026 plan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5C38"/>
    <pageSetUpPr fitToPage="true"/>
  </sheetPr>
  <dimension ref="A1:T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7.5703125" defaultRowHeight="15" zeroHeight="false" outlineLevelRow="0" outlineLevelCol="0"/>
  <cols>
    <col collapsed="false" customWidth="true" hidden="false" outlineLevel="0" max="1" min="1" style="142" width="26"/>
    <col collapsed="false" customWidth="true" hidden="false" outlineLevel="0" max="6" min="2" style="142" width="10"/>
    <col collapsed="false" customWidth="true" hidden="false" outlineLevel="0" max="7" min="7" style="142" width="2"/>
    <col collapsed="false" customWidth="true" hidden="false" outlineLevel="0" max="9" min="8" style="142" width="10"/>
    <col collapsed="false" customWidth="true" hidden="false" outlineLevel="0" max="10" min="10" style="142" width="11.43"/>
    <col collapsed="false" customWidth="true" hidden="false" outlineLevel="0" max="11" min="11" style="142" width="10"/>
    <col collapsed="false" customWidth="false" hidden="false" outlineLevel="0" max="16384" min="12" style="142" width="7.57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2" hidden="false" customHeight="true" outlineLevel="0" collapsed="false">
      <c r="A2" s="7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30" hidden="false" customHeight="true" outlineLevel="0" collapsed="false">
      <c r="A3" s="87" t="s">
        <v>178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.75" hidden="false" customHeight="true" outlineLevel="0" collapsed="false">
      <c r="A4" s="88" t="s">
        <v>179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="129" customFormat="tru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15.75" hidden="false" customHeight="true" outlineLevel="0" collapsed="false">
      <c r="A6" s="90"/>
      <c r="B6" s="91" t="s">
        <v>39</v>
      </c>
      <c r="C6" s="91"/>
      <c r="D6" s="91"/>
      <c r="E6" s="91"/>
      <c r="F6" s="91"/>
      <c r="G6" s="92"/>
      <c r="H6" s="91" t="s">
        <v>166</v>
      </c>
      <c r="I6" s="91"/>
      <c r="J6" s="91"/>
      <c r="K6" s="2"/>
      <c r="L6" s="2"/>
      <c r="M6" s="2"/>
      <c r="N6" s="2"/>
      <c r="O6" s="2"/>
      <c r="P6" s="2"/>
      <c r="Q6" s="2"/>
      <c r="R6" s="2"/>
      <c r="S6" s="2"/>
      <c r="T6" s="2"/>
    </row>
    <row r="7" customFormat="false" ht="13.5" hidden="false" customHeight="true" outlineLevel="0" collapsed="false">
      <c r="A7" s="93"/>
      <c r="B7" s="94" t="s">
        <v>167</v>
      </c>
      <c r="C7" s="94" t="s">
        <v>168</v>
      </c>
      <c r="D7" s="94" t="s">
        <v>169</v>
      </c>
      <c r="E7" s="94" t="s">
        <v>170</v>
      </c>
      <c r="F7" s="94" t="s">
        <v>171</v>
      </c>
      <c r="G7" s="95"/>
      <c r="H7" s="94" t="s">
        <v>172</v>
      </c>
      <c r="I7" s="94" t="s">
        <v>173</v>
      </c>
      <c r="J7" s="94" t="s">
        <v>174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customFormat="false" ht="13.5" hidden="false" customHeight="true" outlineLevel="0" collapsed="false">
      <c r="A8" s="96"/>
      <c r="B8" s="97" t="s">
        <v>175</v>
      </c>
      <c r="C8" s="97" t="s">
        <v>175</v>
      </c>
      <c r="D8" s="97" t="s">
        <v>175</v>
      </c>
      <c r="E8" s="97" t="s">
        <v>175</v>
      </c>
      <c r="F8" s="97" t="s">
        <v>175</v>
      </c>
      <c r="G8" s="98"/>
      <c r="H8" s="97" t="s">
        <v>175</v>
      </c>
      <c r="I8" s="97" t="s">
        <v>176</v>
      </c>
      <c r="J8" s="97" t="s">
        <v>176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customFormat="false" ht="17.25" hidden="false" customHeight="true" outlineLevel="0" collapsed="false">
      <c r="A9" s="100" t="s">
        <v>105</v>
      </c>
      <c r="B9" s="144" t="n">
        <v>25000</v>
      </c>
      <c r="C9" s="144" t="n">
        <v>29640</v>
      </c>
      <c r="D9" s="144" t="n">
        <v>37333.2</v>
      </c>
      <c r="E9" s="144" t="n">
        <v>45072.7</v>
      </c>
      <c r="F9" s="101" t="n">
        <f aca="false">B9</f>
        <v>25000</v>
      </c>
      <c r="G9" s="185"/>
      <c r="H9" s="144" t="n">
        <v>25000</v>
      </c>
      <c r="I9" s="146" t="n">
        <f aca="false">F9-H9</f>
        <v>0</v>
      </c>
      <c r="J9" s="147" t="n">
        <f aca="false">IFERROR((F9-H9)/ABS(H9),"-")</f>
        <v>0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customFormat="false" ht="17.25" hidden="false" customHeight="true" outlineLevel="0" collapsed="false">
      <c r="A10" s="2" t="s">
        <v>106</v>
      </c>
      <c r="B10" s="148" t="n">
        <v>4627.3</v>
      </c>
      <c r="C10" s="148" t="n">
        <v>7500</v>
      </c>
      <c r="D10" s="148" t="n">
        <v>7500</v>
      </c>
      <c r="E10" s="148" t="n">
        <v>7500</v>
      </c>
      <c r="F10" s="104" t="n">
        <f aca="false">B10+C10+D10+E10</f>
        <v>27127.3</v>
      </c>
      <c r="G10" s="186"/>
      <c r="H10" s="148" t="n">
        <v>31685.4</v>
      </c>
      <c r="I10" s="150" t="n">
        <f aca="false">F10-H10</f>
        <v>-4558.1</v>
      </c>
      <c r="J10" s="151" t="n">
        <f aca="false">IFERROR((F10-H10)/ABS(H10),"-")</f>
        <v>-0.143854898470589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7.25" hidden="false" customHeight="true" outlineLevel="0" collapsed="false">
      <c r="A11" s="2" t="s">
        <v>148</v>
      </c>
      <c r="B11" s="148" t="n">
        <v>477.8</v>
      </c>
      <c r="C11" s="148" t="n">
        <v>676.2</v>
      </c>
      <c r="D11" s="148" t="n">
        <v>838.1</v>
      </c>
      <c r="E11" s="148" t="n">
        <v>1001</v>
      </c>
      <c r="F11" s="104" t="n">
        <f aca="false">B11+C11+D11+E11</f>
        <v>2993.1</v>
      </c>
      <c r="G11" s="186"/>
      <c r="H11" s="148" t="n">
        <v>3286.5</v>
      </c>
      <c r="I11" s="150" t="n">
        <f aca="false">F11-H11</f>
        <v>-293.4</v>
      </c>
      <c r="J11" s="151" t="n">
        <f aca="false">IFERROR((F11-H11)/ABS(H11),"-")</f>
        <v>-0.0892743039707896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17.25" hidden="false" customHeight="true" outlineLevel="0" collapsed="false">
      <c r="A12" s="2" t="s">
        <v>149</v>
      </c>
      <c r="B12" s="148" t="n">
        <v>-134.8</v>
      </c>
      <c r="C12" s="148" t="n">
        <v>-144.9</v>
      </c>
      <c r="D12" s="148" t="n">
        <v>-179.6</v>
      </c>
      <c r="E12" s="148" t="n">
        <v>-214.5</v>
      </c>
      <c r="F12" s="104" t="n">
        <f aca="false">B12+C12+D12+E12</f>
        <v>-673.8</v>
      </c>
      <c r="G12" s="186"/>
      <c r="H12" s="148" t="n">
        <v>-657.3</v>
      </c>
      <c r="I12" s="150" t="n">
        <f aca="false">F12-H12</f>
        <v>-16.5000000000001</v>
      </c>
      <c r="J12" s="151" t="n">
        <f aca="false">IFERROR((F12-H12)/ABS(H12),"-")</f>
        <v>-0.0251026928343224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customFormat="false" ht="17.25" hidden="false" customHeight="true" outlineLevel="0" collapsed="false">
      <c r="A13" s="2" t="s">
        <v>150</v>
      </c>
      <c r="B13" s="148" t="n">
        <v>-330.3</v>
      </c>
      <c r="C13" s="148" t="n">
        <v>-338.1</v>
      </c>
      <c r="D13" s="148" t="n">
        <v>-419.1</v>
      </c>
      <c r="E13" s="148" t="n">
        <v>-500.5</v>
      </c>
      <c r="F13" s="104" t="n">
        <f aca="false">B13+C13+D13+E13</f>
        <v>-1588</v>
      </c>
      <c r="G13" s="186"/>
      <c r="H13" s="148" t="n">
        <v>-1314.6</v>
      </c>
      <c r="I13" s="150" t="n">
        <f aca="false">F13-H13</f>
        <v>-273.4</v>
      </c>
      <c r="J13" s="151" t="n">
        <f aca="false">IFERROR((F13-H13)/ABS(H13),"-")</f>
        <v>-0.207972006694052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7.25" hidden="false" customHeight="true" outlineLevel="0" collapsed="false">
      <c r="A14" s="131" t="s">
        <v>151</v>
      </c>
      <c r="B14" s="152" t="n">
        <f aca="false">SUM(B10:B13)</f>
        <v>4640</v>
      </c>
      <c r="C14" s="152" t="n">
        <f aca="false">SUM(C10:C13)</f>
        <v>7693.2</v>
      </c>
      <c r="D14" s="152" t="n">
        <f aca="false">SUM(D10:D13)</f>
        <v>7739.4</v>
      </c>
      <c r="E14" s="152" t="n">
        <f aca="false">SUM(E10:E13)</f>
        <v>7786</v>
      </c>
      <c r="F14" s="132" t="n">
        <f aca="false">B14+C14+D14+E14</f>
        <v>27858.6</v>
      </c>
      <c r="G14" s="185"/>
      <c r="H14" s="152" t="n">
        <f aca="false">SUM(H10:H13)</f>
        <v>33000</v>
      </c>
      <c r="I14" s="153" t="n">
        <f aca="false">F14-H14</f>
        <v>-5141.4</v>
      </c>
      <c r="J14" s="154" t="n">
        <f aca="false">IFERROR((F14-H14)/ABS(H14),"-")</f>
        <v>-0.1558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customFormat="false" ht="17.25" hidden="false" customHeight="true" outlineLevel="0" collapsed="false">
      <c r="A15" s="107" t="s">
        <v>73</v>
      </c>
      <c r="B15" s="161" t="n">
        <f aca="false">B9+B14</f>
        <v>29640</v>
      </c>
      <c r="C15" s="161" t="n">
        <f aca="false">C9+C14</f>
        <v>37333.2</v>
      </c>
      <c r="D15" s="161" t="n">
        <f aca="false">D9+D14</f>
        <v>45072.6</v>
      </c>
      <c r="E15" s="161" t="n">
        <f aca="false">E9+E14</f>
        <v>52858.7</v>
      </c>
      <c r="F15" s="108" t="n">
        <f aca="false">E15</f>
        <v>52858.7</v>
      </c>
      <c r="G15" s="187"/>
      <c r="H15" s="161" t="n">
        <f aca="false">H9+H14</f>
        <v>58000</v>
      </c>
      <c r="I15" s="163" t="n">
        <f aca="false">F15-H15</f>
        <v>-5141.3</v>
      </c>
      <c r="J15" s="164" t="n">
        <f aca="false">IFERROR((F15-H15)/ABS(H15),"-")</f>
        <v>-0.0886431034482759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6" hidden="false" customHeight="true" outlineLevel="0" collapsed="false">
      <c r="A16" s="186"/>
      <c r="B16" s="188"/>
      <c r="C16" s="188"/>
      <c r="D16" s="188"/>
      <c r="E16" s="188"/>
      <c r="F16" s="186"/>
      <c r="G16" s="186"/>
      <c r="H16" s="188"/>
      <c r="I16" s="149"/>
      <c r="J16" s="189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2" hidden="false" customHeight="true" outlineLevel="0" collapsed="false">
      <c r="A17" s="7" t="s">
        <v>152</v>
      </c>
      <c r="B17" s="188"/>
      <c r="C17" s="188"/>
      <c r="D17" s="188"/>
      <c r="E17" s="188"/>
      <c r="F17" s="186"/>
      <c r="G17" s="186"/>
      <c r="H17" s="188"/>
      <c r="I17" s="149"/>
      <c r="J17" s="189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7.25" hidden="false" customHeight="true" outlineLevel="0" collapsed="false">
      <c r="A18" s="113" t="s">
        <v>153</v>
      </c>
      <c r="B18" s="190"/>
      <c r="C18" s="190"/>
      <c r="D18" s="190"/>
      <c r="E18" s="190"/>
      <c r="F18" s="136" t="n">
        <f aca="false">-(F12+F13)/F9</f>
        <v>0.090472</v>
      </c>
      <c r="G18" s="186"/>
      <c r="H18" s="191" t="n">
        <f aca="false">-(H12+H13)/H9</f>
        <v>0.078876</v>
      </c>
      <c r="I18" s="192" t="n">
        <f aca="false">(F18-H18)*10000</f>
        <v>115.96</v>
      </c>
      <c r="J18" s="160" t="s">
        <v>180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7.25" hidden="false" customHeight="true" outlineLevel="0" collapsed="false">
      <c r="A19" s="2" t="s">
        <v>154</v>
      </c>
      <c r="B19" s="193"/>
      <c r="C19" s="193"/>
      <c r="D19" s="193"/>
      <c r="E19" s="193"/>
      <c r="F19" s="111" t="n">
        <f aca="false">F11/F9</f>
        <v>0.119724</v>
      </c>
      <c r="G19" s="186"/>
      <c r="H19" s="155" t="n">
        <f aca="false">H11/H9</f>
        <v>0.13146</v>
      </c>
      <c r="I19" s="157" t="n">
        <f aca="false">(F19-H19)*10000</f>
        <v>-117.36</v>
      </c>
      <c r="J19" s="151" t="s">
        <v>180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 customFormat="false" ht="17.25" hidden="false" customHeight="true" outlineLevel="0" collapsed="false">
      <c r="A20" s="2" t="s">
        <v>155</v>
      </c>
      <c r="B20" s="193"/>
      <c r="C20" s="193"/>
      <c r="D20" s="193"/>
      <c r="E20" s="193"/>
      <c r="F20" s="111" t="n">
        <f aca="false">(F9+F12+F13)/F9</f>
        <v>0.909528</v>
      </c>
      <c r="G20" s="186"/>
      <c r="H20" s="155" t="n">
        <f aca="false">(H9+H12+H13)/H9</f>
        <v>0.921124</v>
      </c>
      <c r="I20" s="157" t="n">
        <f aca="false">(F20-H20)*10000</f>
        <v>-115.960000000001</v>
      </c>
      <c r="J20" s="151" t="s">
        <v>180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7.25" hidden="false" customHeight="true" outlineLevel="0" collapsed="false">
      <c r="A21" s="2" t="s">
        <v>156</v>
      </c>
      <c r="B21" s="193"/>
      <c r="C21" s="193"/>
      <c r="D21" s="193"/>
      <c r="E21" s="193"/>
      <c r="F21" s="111" t="n">
        <f aca="false">(F9+F11+F12+F13)/F9</f>
        <v>1.029252</v>
      </c>
      <c r="G21" s="186"/>
      <c r="H21" s="155" t="n">
        <f aca="false">(H9+H11+H12+H13)/H9</f>
        <v>1.052584</v>
      </c>
      <c r="I21" s="157" t="n">
        <f aca="false">(F21-H21)*10000</f>
        <v>-233.320000000001</v>
      </c>
      <c r="J21" s="151" t="s">
        <v>180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customFormat="false" ht="17.25" hidden="false" customHeight="true" outlineLevel="0" collapsed="false">
      <c r="A22" s="138" t="s">
        <v>157</v>
      </c>
      <c r="B22" s="194"/>
      <c r="C22" s="194"/>
      <c r="D22" s="194"/>
      <c r="E22" s="194"/>
      <c r="F22" s="139" t="n">
        <f aca="false">F14/F9</f>
        <v>1.114344</v>
      </c>
      <c r="G22" s="186"/>
      <c r="H22" s="195" t="n">
        <f aca="false">H14/H9</f>
        <v>1.32</v>
      </c>
      <c r="I22" s="196" t="n">
        <f aca="false">(F22-H22)*10000</f>
        <v>-2056.56</v>
      </c>
      <c r="J22" s="197" t="s">
        <v>180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</sheetData>
  <mergeCells count="2">
    <mergeCell ref="B6:F6"/>
    <mergeCell ref="H6:J6"/>
  </mergeCells>
  <conditionalFormatting sqref="I9:I15">
    <cfRule type="cellIs" priority="2" operator="lessThan" aboveAverage="0" equalAverage="0" bottom="0" percent="0" rank="0" text="" dxfId="1">
      <formula>0</formula>
    </cfRule>
  </conditionalFormatting>
  <conditionalFormatting sqref="I9">
    <cfRule type="cellIs" priority="3" operator="lessThan" aboveAverage="0" equalAverage="0" bottom="0" percent="0" rank="0" text="" dxfId="2">
      <formula>0</formula>
    </cfRule>
  </conditionalFormatting>
  <conditionalFormatting sqref="I14:I15">
    <cfRule type="cellIs" priority="4" operator="lessThan" aboveAverage="0" equalAverage="0" bottom="0" percent="0" rank="0" text="" dxfId="2">
      <formula>0</formula>
    </cfRule>
  </conditionalFormatting>
  <conditionalFormatting sqref="I18">
    <cfRule type="cellIs" priority="5" operator="greaterThan" aboveAverage="0" equalAverage="0" bottom="0" percent="0" rank="0" text="" dxfId="1">
      <formula>0</formula>
    </cfRule>
  </conditionalFormatting>
  <conditionalFormatting sqref="I19:I22">
    <cfRule type="cellIs" priority="6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5" right="0.5" top="0.5" bottom="0.5" header="0.511811023622047" footer="0.511805555555556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&amp;K8a7e6eSetpoint• Finance  ·  FY 2026  ·  Confidential&amp;R&amp;"Arial,Regular"&amp;8 &amp;K8a7e6eAll figures in $000s  ·  Budget = approved FY2026 plan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7E6E"/>
    <pageSetUpPr fitToPage="true"/>
  </sheetPr>
  <dimension ref="A1:L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32" width="26"/>
    <col collapsed="false" customWidth="true" hidden="false" outlineLevel="0" max="4" min="2" style="32" width="11"/>
    <col collapsed="false" customWidth="true" hidden="false" outlineLevel="0" max="5" min="5" style="32" width="10.57"/>
    <col collapsed="false" customWidth="true" hidden="false" outlineLevel="0" max="6" min="6" style="32" width="2"/>
    <col collapsed="false" customWidth="true" hidden="false" outlineLevel="0" max="7" min="7" style="32" width="85.29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2" hidden="false" customHeight="true" outlineLevel="0" collapsed="false">
      <c r="A2" s="7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30" hidden="false" customHeight="true" outlineLevel="0" collapsed="false">
      <c r="A3" s="87" t="s">
        <v>182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.75" hidden="false" customHeight="true" outlineLevel="0" collapsed="false">
      <c r="A4" s="88" t="s">
        <v>183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="49" customFormat="true" ht="15.75" hidden="false" customHeight="true" outlineLevel="0" collapsed="false">
      <c r="A6" s="198"/>
      <c r="B6" s="199" t="s">
        <v>184</v>
      </c>
      <c r="C6" s="199"/>
      <c r="D6" s="199"/>
      <c r="E6" s="199"/>
      <c r="F6" s="177"/>
      <c r="G6" s="200" t="s">
        <v>185</v>
      </c>
      <c r="H6" s="177"/>
      <c r="I6" s="177"/>
      <c r="J6" s="177"/>
      <c r="K6" s="177"/>
      <c r="L6" s="177"/>
    </row>
    <row r="7" s="49" customFormat="true" ht="17.25" hidden="false" customHeight="true" outlineLevel="0" collapsed="false">
      <c r="A7" s="201"/>
      <c r="B7" s="41" t="s">
        <v>97</v>
      </c>
      <c r="C7" s="41" t="s">
        <v>98</v>
      </c>
      <c r="D7" s="41" t="s">
        <v>173</v>
      </c>
      <c r="E7" s="41" t="s">
        <v>174</v>
      </c>
      <c r="F7" s="177"/>
      <c r="G7" s="202" t="s">
        <v>186</v>
      </c>
      <c r="H7" s="177"/>
      <c r="I7" s="177"/>
      <c r="J7" s="177"/>
      <c r="K7" s="177"/>
      <c r="L7" s="177"/>
    </row>
    <row r="8" s="49" customFormat="true" ht="17.25" hidden="false" customHeight="true" outlineLevel="0" collapsed="false">
      <c r="A8" s="203" t="s">
        <v>187</v>
      </c>
      <c r="B8" s="204" t="s">
        <v>118</v>
      </c>
      <c r="C8" s="204" t="s">
        <v>118</v>
      </c>
      <c r="D8" s="204" t="s">
        <v>118</v>
      </c>
      <c r="E8" s="204" t="s">
        <v>118</v>
      </c>
      <c r="F8" s="205"/>
      <c r="G8" s="206"/>
      <c r="H8" s="177"/>
      <c r="I8" s="177"/>
      <c r="J8" s="177"/>
      <c r="K8" s="177"/>
      <c r="L8" s="177"/>
    </row>
    <row r="9" s="49" customFormat="true" ht="17.25" hidden="false" customHeight="true" outlineLevel="0" collapsed="false">
      <c r="A9" s="100" t="s">
        <v>99</v>
      </c>
      <c r="B9" s="101" t="n">
        <v>6946.76</v>
      </c>
      <c r="C9" s="101" t="n">
        <v>7211.73</v>
      </c>
      <c r="D9" s="102" t="n">
        <f aca="false">B9-C9</f>
        <v>-264.969999999999</v>
      </c>
      <c r="E9" s="103" t="n">
        <f aca="false">IFERROR((B9-C9)/ABS(C9),0)</f>
        <v>-0.0367415308116082</v>
      </c>
      <c r="F9" s="177"/>
      <c r="G9" s="126" t="s">
        <v>188</v>
      </c>
      <c r="H9" s="177"/>
      <c r="I9" s="177"/>
      <c r="J9" s="177"/>
      <c r="K9" s="177"/>
      <c r="L9" s="177"/>
    </row>
    <row r="10" s="49" customFormat="true" ht="17.25" hidden="false" customHeight="true" outlineLevel="0" collapsed="false">
      <c r="A10" s="2" t="s">
        <v>123</v>
      </c>
      <c r="B10" s="104" t="n">
        <v>1206</v>
      </c>
      <c r="C10" s="104" t="n">
        <v>1243.8</v>
      </c>
      <c r="D10" s="105" t="n">
        <f aca="false">C10-B10</f>
        <v>37.8</v>
      </c>
      <c r="E10" s="106" t="n">
        <f aca="false">IFERROR((C10-B10)/ABS(C10),0)</f>
        <v>0.0303907380607814</v>
      </c>
      <c r="F10" s="177"/>
      <c r="G10" s="126" t="s">
        <v>189</v>
      </c>
      <c r="H10" s="177"/>
      <c r="I10" s="177"/>
      <c r="J10" s="177"/>
      <c r="K10" s="177"/>
      <c r="L10" s="177"/>
    </row>
    <row r="11" s="49" customFormat="true" ht="17.25" hidden="false" customHeight="true" outlineLevel="0" collapsed="false">
      <c r="A11" s="107" t="s">
        <v>124</v>
      </c>
      <c r="B11" s="108" t="n">
        <f aca="false">B9-B10</f>
        <v>5740.76</v>
      </c>
      <c r="C11" s="108" t="n">
        <f aca="false">C9-C10</f>
        <v>5967.93</v>
      </c>
      <c r="D11" s="109" t="n">
        <f aca="false">B11-C11</f>
        <v>-227.169999999999</v>
      </c>
      <c r="E11" s="110" t="n">
        <f aca="false">IFERROR((B11-C11)/ABS(C11),0)</f>
        <v>-0.0380651247585007</v>
      </c>
      <c r="F11" s="177"/>
      <c r="G11" s="207" t="s">
        <v>190</v>
      </c>
      <c r="H11" s="177"/>
      <c r="I11" s="177"/>
      <c r="J11" s="177"/>
      <c r="K11" s="177"/>
      <c r="L11" s="177"/>
    </row>
    <row r="12" s="49" customFormat="true" ht="17.25" hidden="false" customHeight="true" outlineLevel="0" collapsed="false">
      <c r="A12" s="2" t="s">
        <v>125</v>
      </c>
      <c r="B12" s="111" t="n">
        <f aca="false">IFERROR(B11/B9,0)</f>
        <v>0.826393887222245</v>
      </c>
      <c r="C12" s="111" t="n">
        <f aca="false">IFERROR(C11/C9,0)</f>
        <v>0.827530980777151</v>
      </c>
      <c r="D12" s="112" t="n">
        <f aca="false">IFERROR((B12-C12)*10000,0)</f>
        <v>-11.3709355490588</v>
      </c>
      <c r="E12" s="112" t="n">
        <f aca="false">IFERROR((B12-C12)*10000,0)</f>
        <v>-11.3709355490588</v>
      </c>
      <c r="F12" s="177"/>
      <c r="G12" s="126" t="s">
        <v>191</v>
      </c>
      <c r="H12" s="177"/>
      <c r="I12" s="177"/>
      <c r="J12" s="177"/>
      <c r="K12" s="177"/>
      <c r="L12" s="177"/>
    </row>
    <row r="13" s="49" customFormat="true" ht="17.25" hidden="false" customHeight="true" outlineLevel="0" collapsed="false">
      <c r="A13" s="113" t="s">
        <v>126</v>
      </c>
      <c r="B13" s="114" t="n">
        <v>1736.8</v>
      </c>
      <c r="C13" s="114" t="n">
        <v>1756.6</v>
      </c>
      <c r="D13" s="115" t="n">
        <f aca="false">C13-B13</f>
        <v>19.8</v>
      </c>
      <c r="E13" s="116" t="n">
        <f aca="false">IFERROR((C13-B13)/ABS(C13),0)</f>
        <v>0.0112717750199248</v>
      </c>
      <c r="F13" s="177"/>
      <c r="G13" s="208" t="s">
        <v>192</v>
      </c>
      <c r="H13" s="177"/>
      <c r="I13" s="177"/>
      <c r="J13" s="177"/>
      <c r="K13" s="177"/>
      <c r="L13" s="177"/>
    </row>
    <row r="14" s="49" customFormat="true" ht="17.25" hidden="false" customHeight="true" outlineLevel="0" collapsed="false">
      <c r="A14" s="2" t="s">
        <v>127</v>
      </c>
      <c r="B14" s="104" t="n">
        <v>2302.1</v>
      </c>
      <c r="C14" s="104" t="n">
        <v>2550.5</v>
      </c>
      <c r="D14" s="105" t="n">
        <f aca="false">C14-B14</f>
        <v>248.4</v>
      </c>
      <c r="E14" s="106" t="n">
        <f aca="false">IFERROR((C14-B14)/ABS(C14),0)</f>
        <v>0.0973926681042933</v>
      </c>
      <c r="F14" s="177"/>
      <c r="G14" s="126" t="s">
        <v>193</v>
      </c>
      <c r="H14" s="177"/>
      <c r="I14" s="177"/>
      <c r="J14" s="177"/>
      <c r="K14" s="177"/>
      <c r="L14" s="177"/>
    </row>
    <row r="15" s="49" customFormat="true" ht="17.25" hidden="false" customHeight="true" outlineLevel="0" collapsed="false">
      <c r="A15" s="2" t="s">
        <v>128</v>
      </c>
      <c r="B15" s="104" t="n">
        <v>692.9</v>
      </c>
      <c r="C15" s="104" t="n">
        <v>680.7</v>
      </c>
      <c r="D15" s="105" t="n">
        <f aca="false">C15-B15</f>
        <v>-12.1999999999999</v>
      </c>
      <c r="E15" s="106" t="n">
        <f aca="false">IFERROR((C15-B15)/ABS(C15),0)</f>
        <v>-0.0179227266049654</v>
      </c>
      <c r="F15" s="177"/>
      <c r="G15" s="126" t="s">
        <v>194</v>
      </c>
      <c r="H15" s="177"/>
      <c r="I15" s="177"/>
      <c r="J15" s="177"/>
      <c r="K15" s="177"/>
      <c r="L15" s="177"/>
    </row>
    <row r="16" s="49" customFormat="true" ht="17.25" hidden="false" customHeight="true" outlineLevel="0" collapsed="false">
      <c r="A16" s="100" t="s">
        <v>129</v>
      </c>
      <c r="B16" s="101" t="n">
        <f aca="false">B13+B14+B15</f>
        <v>4731.8</v>
      </c>
      <c r="C16" s="101" t="n">
        <f aca="false">C13+C14+C15</f>
        <v>4987.8</v>
      </c>
      <c r="D16" s="102" t="n">
        <f aca="false">C16-B16</f>
        <v>256.000000000001</v>
      </c>
      <c r="E16" s="103" t="n">
        <f aca="false">IFERROR((C16-B16)/ABS(C16),0)</f>
        <v>0.0513252335699108</v>
      </c>
      <c r="F16" s="177"/>
      <c r="G16" s="126" t="s">
        <v>195</v>
      </c>
      <c r="H16" s="177"/>
      <c r="I16" s="177"/>
      <c r="J16" s="177"/>
      <c r="K16" s="177"/>
      <c r="L16" s="177"/>
    </row>
    <row r="17" s="49" customFormat="true" ht="17.25" hidden="false" customHeight="true" outlineLevel="0" collapsed="false">
      <c r="A17" s="107" t="s">
        <v>130</v>
      </c>
      <c r="B17" s="108" t="n">
        <f aca="false">B11-B16</f>
        <v>1008.96</v>
      </c>
      <c r="C17" s="108" t="n">
        <f aca="false">C11-C16</f>
        <v>980.129999999999</v>
      </c>
      <c r="D17" s="109" t="n">
        <f aca="false">B17-C17</f>
        <v>28.8300000000017</v>
      </c>
      <c r="E17" s="110" t="n">
        <f aca="false">IFERROR((B17-C17)/ABS(C17),0)</f>
        <v>0.0294144654280573</v>
      </c>
      <c r="F17" s="177"/>
      <c r="G17" s="207" t="s">
        <v>196</v>
      </c>
      <c r="H17" s="177"/>
      <c r="I17" s="177"/>
      <c r="J17" s="177"/>
      <c r="K17" s="177"/>
      <c r="L17" s="177"/>
    </row>
    <row r="18" s="49" customFormat="true" ht="17.25" hidden="false" customHeight="true" outlineLevel="0" collapsed="false">
      <c r="A18" s="138" t="s">
        <v>131</v>
      </c>
      <c r="B18" s="139" t="n">
        <f aca="false">IFERROR(B17/B9,0)</f>
        <v>0.145241810570683</v>
      </c>
      <c r="C18" s="139" t="n">
        <f aca="false">IFERROR(C17/C9,0)</f>
        <v>0.135907750290152</v>
      </c>
      <c r="D18" s="140" t="n">
        <f aca="false">IFERROR((B18-C18)*10000,0)</f>
        <v>93.3406028053124</v>
      </c>
      <c r="E18" s="140" t="n">
        <f aca="false">IFERROR((B18-C18)*10000,0)</f>
        <v>93.3406028053124</v>
      </c>
      <c r="F18" s="177"/>
      <c r="G18" s="10" t="s">
        <v>197</v>
      </c>
      <c r="H18" s="177"/>
      <c r="I18" s="177"/>
      <c r="J18" s="177"/>
      <c r="K18" s="177"/>
      <c r="L18" s="177"/>
    </row>
    <row r="19" s="49" customFormat="true" ht="17.25" hidden="false" customHeight="true" outlineLevel="0" collapsed="false">
      <c r="A19" s="118"/>
      <c r="B19" s="119"/>
      <c r="C19" s="119"/>
      <c r="D19" s="120"/>
      <c r="E19" s="120"/>
      <c r="F19" s="209"/>
      <c r="G19" s="210"/>
      <c r="H19" s="209"/>
    </row>
    <row r="20" s="49" customFormat="true" ht="17.25" hidden="false" customHeight="true" outlineLevel="0" collapsed="false">
      <c r="A20" s="2"/>
      <c r="B20" s="2"/>
      <c r="C20" s="2"/>
      <c r="D20" s="2"/>
      <c r="E20" s="2"/>
      <c r="F20" s="177"/>
      <c r="G20" s="177"/>
      <c r="H20" s="177"/>
      <c r="I20" s="177"/>
      <c r="J20" s="177"/>
      <c r="K20" s="177"/>
      <c r="L20" s="177"/>
    </row>
    <row r="21" s="49" customFormat="true" ht="17.25" hidden="false" customHeight="true" outlineLevel="0" collapsed="false">
      <c r="A21" s="131" t="s">
        <v>132</v>
      </c>
      <c r="B21" s="132"/>
      <c r="C21" s="132"/>
      <c r="D21" s="133"/>
      <c r="E21" s="134"/>
      <c r="F21" s="177"/>
      <c r="G21" s="208"/>
      <c r="H21" s="177"/>
      <c r="I21" s="177"/>
      <c r="J21" s="177"/>
      <c r="K21" s="177"/>
      <c r="L21" s="177"/>
    </row>
    <row r="22" s="49" customFormat="true" ht="17.25" hidden="false" customHeight="true" outlineLevel="0" collapsed="false">
      <c r="A22" s="2" t="s">
        <v>133</v>
      </c>
      <c r="B22" s="104" t="n">
        <v>26</v>
      </c>
      <c r="C22" s="104" t="n">
        <v>26</v>
      </c>
      <c r="D22" s="105" t="n">
        <f aca="false">C22-B22</f>
        <v>0</v>
      </c>
      <c r="E22" s="106" t="n">
        <f aca="false">IFERROR((C22-B22)/ABS(C22),0)</f>
        <v>0</v>
      </c>
      <c r="F22" s="177"/>
      <c r="G22" s="126"/>
      <c r="H22" s="177"/>
      <c r="I22" s="177"/>
      <c r="J22" s="177"/>
      <c r="K22" s="177"/>
      <c r="L22" s="177"/>
    </row>
    <row r="23" s="49" customFormat="true" ht="17.25" hidden="false" customHeight="true" outlineLevel="0" collapsed="false">
      <c r="A23" s="2" t="s">
        <v>134</v>
      </c>
      <c r="B23" s="104" t="n">
        <v>26</v>
      </c>
      <c r="C23" s="104" t="n">
        <v>26</v>
      </c>
      <c r="D23" s="105" t="n">
        <f aca="false">C23-B23</f>
        <v>0</v>
      </c>
      <c r="E23" s="106" t="n">
        <f aca="false">IFERROR((C23-B23)/ABS(C23),0)</f>
        <v>0</v>
      </c>
      <c r="F23" s="177"/>
      <c r="G23" s="126" t="s">
        <v>198</v>
      </c>
      <c r="H23" s="177"/>
      <c r="I23" s="177"/>
      <c r="J23" s="177"/>
      <c r="K23" s="177"/>
      <c r="L23" s="177"/>
    </row>
    <row r="24" s="49" customFormat="true" ht="17.25" hidden="false" customHeight="true" outlineLevel="0" collapsed="false">
      <c r="A24" s="2" t="s">
        <v>135</v>
      </c>
      <c r="B24" s="104" t="n">
        <v>35</v>
      </c>
      <c r="C24" s="104" t="n">
        <v>35</v>
      </c>
      <c r="D24" s="105" t="n">
        <f aca="false">C24-B24</f>
        <v>0</v>
      </c>
      <c r="E24" s="106" t="n">
        <f aca="false">IFERROR((C24-B24)/ABS(C24),0)</f>
        <v>0</v>
      </c>
      <c r="F24" s="177"/>
      <c r="G24" s="126" t="s">
        <v>199</v>
      </c>
      <c r="H24" s="177"/>
      <c r="I24" s="177"/>
      <c r="J24" s="177"/>
      <c r="K24" s="177"/>
      <c r="L24" s="177"/>
    </row>
    <row r="25" s="49" customFormat="true" ht="17.25" hidden="false" customHeight="true" outlineLevel="0" collapsed="false">
      <c r="A25" s="2" t="s">
        <v>136</v>
      </c>
      <c r="B25" s="104" t="n">
        <v>14</v>
      </c>
      <c r="C25" s="104" t="n">
        <v>13</v>
      </c>
      <c r="D25" s="105" t="n">
        <f aca="false">C25-B25</f>
        <v>-1</v>
      </c>
      <c r="E25" s="106" t="n">
        <f aca="false">IFERROR((C25-B25)/ABS(C25),0)</f>
        <v>-0.0769230769230769</v>
      </c>
      <c r="F25" s="177"/>
      <c r="G25" s="126" t="s">
        <v>200</v>
      </c>
      <c r="H25" s="177"/>
      <c r="I25" s="177"/>
      <c r="J25" s="177"/>
      <c r="K25" s="177"/>
      <c r="L25" s="177"/>
    </row>
    <row r="26" s="49" customFormat="true" ht="17.25" hidden="false" customHeight="true" outlineLevel="0" collapsed="false">
      <c r="A26" s="211" t="s">
        <v>137</v>
      </c>
      <c r="B26" s="123" t="n">
        <f aca="false">SUM(B22:B25)</f>
        <v>101</v>
      </c>
      <c r="C26" s="123" t="n">
        <f aca="false">SUM(C22:C25)</f>
        <v>100</v>
      </c>
      <c r="D26" s="123" t="n">
        <f aca="false">C26-B26</f>
        <v>-1</v>
      </c>
      <c r="E26" s="125" t="n">
        <f aca="false">IFERROR((C26-B26)/ABS(C26),0)</f>
        <v>-0.01</v>
      </c>
      <c r="F26" s="177"/>
      <c r="G26" s="10" t="s">
        <v>201</v>
      </c>
      <c r="H26" s="177"/>
      <c r="I26" s="177"/>
      <c r="J26" s="177"/>
      <c r="K26" s="177"/>
      <c r="L26" s="177"/>
    </row>
    <row r="27" s="49" customFormat="true" ht="17.25" hidden="false" customHeight="true" outlineLevel="0" collapsed="false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</row>
    <row r="28" s="49" customFormat="true" ht="17.25" hidden="false" customHeight="true" outlineLevel="0" collapsed="false">
      <c r="A28" s="212" t="s">
        <v>202</v>
      </c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</row>
    <row r="29" s="49" customFormat="true" ht="17.25" hidden="false" customHeight="true" outlineLevel="0" collapsed="false">
      <c r="A29" s="213" t="s">
        <v>203</v>
      </c>
      <c r="B29" s="213" t="s">
        <v>204</v>
      </c>
      <c r="C29" s="177"/>
      <c r="D29" s="213" t="s">
        <v>205</v>
      </c>
      <c r="E29" s="213" t="s">
        <v>206</v>
      </c>
      <c r="F29" s="177"/>
      <c r="G29" s="213" t="s">
        <v>207</v>
      </c>
      <c r="H29" s="177"/>
      <c r="I29" s="177"/>
      <c r="J29" s="177"/>
      <c r="K29" s="177"/>
      <c r="L29" s="177"/>
    </row>
    <row r="30" customFormat="false" ht="15" hidden="false" customHeight="true" outlineLevel="0" collapsed="false">
      <c r="A30" s="214" t="n">
        <v>1</v>
      </c>
      <c r="B30" s="215" t="s">
        <v>208</v>
      </c>
      <c r="C30" s="216"/>
      <c r="D30" s="217" t="s">
        <v>209</v>
      </c>
      <c r="E30" s="218" t="s">
        <v>210</v>
      </c>
      <c r="F30" s="177"/>
      <c r="G30" s="218" t="s">
        <v>211</v>
      </c>
      <c r="H30" s="177"/>
      <c r="I30" s="177"/>
      <c r="J30" s="177"/>
      <c r="K30" s="177"/>
      <c r="L30" s="177"/>
    </row>
    <row r="31" customFormat="false" ht="9.75" hidden="false" customHeight="true" outlineLevel="0" collapsed="false">
      <c r="A31" s="219" t="n">
        <v>2</v>
      </c>
      <c r="B31" s="11" t="s">
        <v>212</v>
      </c>
      <c r="C31" s="216"/>
      <c r="D31" s="10" t="s">
        <v>213</v>
      </c>
      <c r="E31" s="10" t="s">
        <v>214</v>
      </c>
      <c r="F31" s="177"/>
      <c r="G31" s="10" t="s">
        <v>215</v>
      </c>
      <c r="H31" s="177"/>
      <c r="I31" s="177"/>
      <c r="J31" s="177"/>
      <c r="K31" s="177"/>
      <c r="L31" s="177"/>
    </row>
    <row r="32" customFormat="false" ht="15" hidden="false" customHeight="true" outlineLevel="0" collapsed="false">
      <c r="A32" s="214" t="n">
        <v>3</v>
      </c>
      <c r="B32" s="215" t="s">
        <v>216</v>
      </c>
      <c r="C32" s="216"/>
      <c r="D32" s="218" t="s">
        <v>217</v>
      </c>
      <c r="E32" s="218" t="s">
        <v>218</v>
      </c>
      <c r="F32" s="177"/>
      <c r="G32" s="218" t="s">
        <v>219</v>
      </c>
      <c r="H32" s="177"/>
      <c r="I32" s="177"/>
      <c r="J32" s="177"/>
      <c r="K32" s="177"/>
      <c r="L32" s="177"/>
    </row>
    <row r="33" customFormat="false" ht="15" hidden="false" customHeight="true" outlineLevel="0" collapsed="false">
      <c r="A33" s="219" t="n">
        <v>4</v>
      </c>
      <c r="B33" s="11" t="s">
        <v>220</v>
      </c>
      <c r="C33" s="216"/>
      <c r="D33" s="12" t="s">
        <v>221</v>
      </c>
      <c r="E33" s="10" t="s">
        <v>19</v>
      </c>
      <c r="F33" s="177"/>
      <c r="G33" s="10" t="s">
        <v>222</v>
      </c>
      <c r="H33" s="177"/>
      <c r="I33" s="177"/>
      <c r="J33" s="177"/>
      <c r="K33" s="177"/>
      <c r="L33" s="177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customFormat="false" ht="15" hidden="false" customHeight="true" outlineLevel="0" collapsed="false">
      <c r="A35" s="141" t="s">
        <v>223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</sheetData>
  <mergeCells count="1">
    <mergeCell ref="B6:E6"/>
  </mergeCells>
  <conditionalFormatting sqref="D9:E22">
    <cfRule type="cellIs" priority="2" operator="lessThan" aboveAverage="0" equalAverage="0" bottom="0" percent="0" rank="0" text="" dxfId="1">
      <formula>0</formula>
    </cfRule>
  </conditionalFormatting>
  <conditionalFormatting sqref="D9:E9">
    <cfRule type="cellIs" priority="3" operator="lessThan" aboveAverage="0" equalAverage="0" bottom="0" percent="0" rank="0" text="" dxfId="2">
      <formula>0</formula>
    </cfRule>
  </conditionalFormatting>
  <conditionalFormatting sqref="D11:E11">
    <cfRule type="cellIs" priority="4" operator="lessThan" aboveAverage="0" equalAverage="0" bottom="0" percent="0" rank="0" text="" dxfId="2">
      <formula>0</formula>
    </cfRule>
  </conditionalFormatting>
  <conditionalFormatting sqref="D17:E17">
    <cfRule type="cellIs" priority="5" operator="lessThan" aboveAverage="0" equalAverage="0" bottom="0" percent="0" rank="0" text="" dxfId="2">
      <formula>0</formula>
    </cfRule>
  </conditionalFormatting>
  <conditionalFormatting sqref="D22:E22">
    <cfRule type="cellIs" priority="6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5" right="0.5" top="0.5" bottom="0.5" header="0.511811023622047" footer="0.511805555555556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&amp;K8a7e6eSetpoint• Finance  ·  Q1 2026  ·  Confidential&amp;R&amp;"Arial,Regular"&amp;8 &amp;K8a7e6eAll figures in $000s  ·  Budget = approved FY2026 plan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7E6E"/>
    <pageSetUpPr fitToPage="true"/>
  </sheetPr>
  <dimension ref="A1:T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5.2890625" defaultRowHeight="12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0"/>
    <col collapsed="false" customWidth="true" hidden="false" outlineLevel="0" max="5" min="5" style="1" width="1.57"/>
    <col collapsed="false" customWidth="true" hidden="false" outlineLevel="0" max="7" min="6" style="1" width="10"/>
    <col collapsed="false" customWidth="true" hidden="false" outlineLevel="0" max="8" min="8" style="1" width="1.57"/>
    <col collapsed="false" customWidth="true" hidden="false" outlineLevel="0" max="11" min="9" style="1" width="10"/>
    <col collapsed="false" customWidth="true" hidden="false" outlineLevel="0" max="12" min="12" style="1" width="1.57"/>
    <col collapsed="false" customWidth="true" hidden="false" outlineLevel="0" max="14" min="13" style="1" width="10"/>
    <col collapsed="false" customWidth="false" hidden="false" outlineLevel="0" max="16384" min="15" style="1" width="5.29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2" hidden="false" customHeight="true" outlineLevel="0" collapsed="false">
      <c r="A2" s="7" t="s">
        <v>224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30" hidden="false" customHeight="true" outlineLevel="0" collapsed="false">
      <c r="A3" s="87" t="s">
        <v>111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.75" hidden="false" customHeight="true" outlineLevel="0" collapsed="false">
      <c r="A4" s="88" t="s">
        <v>225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="89" customFormat="tru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15.75" hidden="false" customHeight="true" outlineLevel="0" collapsed="false">
      <c r="A6" s="90"/>
      <c r="B6" s="91" t="s">
        <v>113</v>
      </c>
      <c r="C6" s="91"/>
      <c r="D6" s="91"/>
      <c r="E6" s="92"/>
      <c r="F6" s="91" t="s">
        <v>114</v>
      </c>
      <c r="G6" s="91"/>
      <c r="H6" s="92"/>
      <c r="I6" s="91" t="s">
        <v>115</v>
      </c>
      <c r="J6" s="91"/>
      <c r="K6" s="91"/>
      <c r="L6" s="92"/>
      <c r="M6" s="91" t="s">
        <v>114</v>
      </c>
      <c r="N6" s="91"/>
      <c r="O6" s="2"/>
      <c r="P6" s="2"/>
      <c r="Q6" s="2"/>
      <c r="R6" s="2"/>
      <c r="S6" s="2"/>
      <c r="T6" s="2"/>
    </row>
    <row r="7" customFormat="false" ht="17.25" hidden="false" customHeight="true" outlineLevel="0" collapsed="false">
      <c r="A7" s="93"/>
      <c r="B7" s="94" t="s">
        <v>97</v>
      </c>
      <c r="C7" s="94" t="s">
        <v>98</v>
      </c>
      <c r="D7" s="94" t="s">
        <v>116</v>
      </c>
      <c r="E7" s="95"/>
      <c r="F7" s="94" t="s">
        <v>97</v>
      </c>
      <c r="G7" s="94" t="s">
        <v>117</v>
      </c>
      <c r="H7" s="95"/>
      <c r="I7" s="94" t="s">
        <v>97</v>
      </c>
      <c r="J7" s="94" t="s">
        <v>98</v>
      </c>
      <c r="K7" s="94" t="s">
        <v>116</v>
      </c>
      <c r="L7" s="95"/>
      <c r="M7" s="94" t="s">
        <v>97</v>
      </c>
      <c r="N7" s="94" t="s">
        <v>117</v>
      </c>
      <c r="O7" s="2"/>
      <c r="P7" s="2"/>
      <c r="Q7" s="2"/>
      <c r="R7" s="2"/>
      <c r="S7" s="2"/>
      <c r="T7" s="2"/>
    </row>
    <row r="8" s="99" customFormat="true" ht="17.25" hidden="false" customHeight="true" outlineLevel="0" collapsed="false">
      <c r="A8" s="96"/>
      <c r="B8" s="97" t="s">
        <v>118</v>
      </c>
      <c r="C8" s="97" t="s">
        <v>118</v>
      </c>
      <c r="D8" s="97" t="s">
        <v>118</v>
      </c>
      <c r="E8" s="98"/>
      <c r="F8" s="97" t="s">
        <v>119</v>
      </c>
      <c r="G8" s="97" t="s">
        <v>120</v>
      </c>
      <c r="H8" s="98"/>
      <c r="I8" s="97" t="s">
        <v>121</v>
      </c>
      <c r="J8" s="97" t="s">
        <v>121</v>
      </c>
      <c r="K8" s="97" t="s">
        <v>121</v>
      </c>
      <c r="L8" s="98"/>
      <c r="M8" s="97" t="s">
        <v>122</v>
      </c>
      <c r="N8" s="97" t="s">
        <v>120</v>
      </c>
      <c r="O8" s="2"/>
      <c r="P8" s="2"/>
      <c r="Q8" s="2"/>
      <c r="R8" s="2"/>
      <c r="S8" s="2"/>
      <c r="T8" s="2"/>
    </row>
    <row r="9" customFormat="false" ht="17.25" hidden="false" customHeight="true" outlineLevel="0" collapsed="false">
      <c r="A9" s="100" t="s">
        <v>99</v>
      </c>
      <c r="B9" s="101" t="n">
        <v>6946.76</v>
      </c>
      <c r="C9" s="101" t="n">
        <v>7211.73</v>
      </c>
      <c r="D9" s="102" t="n">
        <f aca="false">B9-C9</f>
        <v>-264.969999999999</v>
      </c>
      <c r="E9" s="2"/>
      <c r="F9" s="101" t="n">
        <v>5062.67</v>
      </c>
      <c r="G9" s="103" t="n">
        <f aca="false">IFERROR((B9-F9)/ABS(F9),"-")</f>
        <v>0.372153428921893</v>
      </c>
      <c r="H9" s="2"/>
      <c r="I9" s="101" t="n">
        <v>6946.76</v>
      </c>
      <c r="J9" s="101" t="n">
        <v>7211.73</v>
      </c>
      <c r="K9" s="102" t="n">
        <f aca="false">I9-J9</f>
        <v>-264.969999999999</v>
      </c>
      <c r="L9" s="2"/>
      <c r="M9" s="101" t="n">
        <v>5062.67</v>
      </c>
      <c r="N9" s="103" t="n">
        <f aca="false">IFERROR((I9-M9)/ABS(M9),"-")</f>
        <v>0.372153428921893</v>
      </c>
      <c r="O9" s="2"/>
      <c r="P9" s="2"/>
      <c r="Q9" s="2"/>
      <c r="R9" s="2"/>
      <c r="S9" s="2"/>
      <c r="T9" s="2"/>
    </row>
    <row r="10" customFormat="false" ht="17.25" hidden="false" customHeight="true" outlineLevel="0" collapsed="false">
      <c r="A10" s="2" t="s">
        <v>123</v>
      </c>
      <c r="B10" s="104" t="n">
        <v>1206</v>
      </c>
      <c r="C10" s="104" t="n">
        <v>1243.8</v>
      </c>
      <c r="D10" s="105" t="n">
        <f aca="false">C10-B10</f>
        <v>37.8</v>
      </c>
      <c r="E10" s="2"/>
      <c r="F10" s="104" t="n">
        <v>996.1</v>
      </c>
      <c r="G10" s="106" t="n">
        <f aca="false">IFERROR((B10-F10)/ABS(F10),"-")</f>
        <v>0.210721815078807</v>
      </c>
      <c r="H10" s="2"/>
      <c r="I10" s="104" t="n">
        <v>1206</v>
      </c>
      <c r="J10" s="104" t="n">
        <v>1243.8</v>
      </c>
      <c r="K10" s="105" t="n">
        <f aca="false">J10-I10</f>
        <v>37.8</v>
      </c>
      <c r="L10" s="2"/>
      <c r="M10" s="104" t="n">
        <v>996.1</v>
      </c>
      <c r="N10" s="106" t="n">
        <f aca="false">IFERROR((I10-M10)/ABS(M10),"-")</f>
        <v>0.210721815078807</v>
      </c>
      <c r="O10" s="2"/>
      <c r="P10" s="2"/>
      <c r="Q10" s="2"/>
      <c r="R10" s="2"/>
      <c r="S10" s="2"/>
      <c r="T10" s="2"/>
    </row>
    <row r="11" customFormat="false" ht="17.25" hidden="false" customHeight="true" outlineLevel="0" collapsed="false">
      <c r="A11" s="107" t="s">
        <v>124</v>
      </c>
      <c r="B11" s="108" t="n">
        <f aca="false">B9-B10</f>
        <v>5740.76</v>
      </c>
      <c r="C11" s="108" t="n">
        <f aca="false">C9-C10</f>
        <v>5967.93</v>
      </c>
      <c r="D11" s="109" t="n">
        <f aca="false">B11-C11</f>
        <v>-227.169999999999</v>
      </c>
      <c r="E11" s="2"/>
      <c r="F11" s="108" t="n">
        <f aca="false">F9-F10</f>
        <v>4066.57</v>
      </c>
      <c r="G11" s="110" t="n">
        <f aca="false">IFERROR((B11-F11)/ABS(F11),"-")</f>
        <v>0.411695851786641</v>
      </c>
      <c r="H11" s="2"/>
      <c r="I11" s="108" t="n">
        <f aca="false">I9-I10</f>
        <v>5740.76</v>
      </c>
      <c r="J11" s="108" t="n">
        <f aca="false">J9-J10</f>
        <v>5967.93</v>
      </c>
      <c r="K11" s="109" t="n">
        <f aca="false">I11-J11</f>
        <v>-227.169999999999</v>
      </c>
      <c r="L11" s="2"/>
      <c r="M11" s="108" t="n">
        <f aca="false">M9-M10</f>
        <v>4066.57</v>
      </c>
      <c r="N11" s="110" t="n">
        <f aca="false">IFERROR((I11-M11)/ABS(M11),"-")</f>
        <v>0.411695851786641</v>
      </c>
      <c r="O11" s="2"/>
      <c r="P11" s="2"/>
      <c r="Q11" s="2"/>
      <c r="R11" s="2"/>
      <c r="S11" s="2"/>
      <c r="T11" s="2"/>
    </row>
    <row r="12" customFormat="false" ht="17.25" hidden="false" customHeight="true" outlineLevel="0" collapsed="false">
      <c r="A12" s="2" t="s">
        <v>125</v>
      </c>
      <c r="B12" s="111" t="n">
        <f aca="false">IFERROR(B11/B9,0)</f>
        <v>0.826393887222245</v>
      </c>
      <c r="C12" s="111" t="n">
        <f aca="false">IFERROR(C11/C9,0)</f>
        <v>0.827530980777151</v>
      </c>
      <c r="D12" s="112" t="n">
        <f aca="false">IFERROR((B12-C12)*10000,0)</f>
        <v>-11.3709355490588</v>
      </c>
      <c r="E12" s="2"/>
      <c r="F12" s="111" t="n">
        <f aca="false">IFERROR(F11/F9,0)</f>
        <v>0.803246113216939</v>
      </c>
      <c r="G12" s="112" t="n">
        <f aca="false">IFERROR((B12-F12)*10000,0)</f>
        <v>231.477740053057</v>
      </c>
      <c r="H12" s="2"/>
      <c r="I12" s="111" t="n">
        <f aca="false">IFERROR(I11/I9,0)</f>
        <v>0.826393887222245</v>
      </c>
      <c r="J12" s="111" t="n">
        <f aca="false">IFERROR(J11/J9,0)</f>
        <v>0.827530980777151</v>
      </c>
      <c r="K12" s="112" t="n">
        <f aca="false">IFERROR((I12-J12)*10000,0)</f>
        <v>-11.3709355490588</v>
      </c>
      <c r="L12" s="2"/>
      <c r="M12" s="111" t="n">
        <f aca="false">IFERROR(M11/M9,0)</f>
        <v>0.803246113216939</v>
      </c>
      <c r="N12" s="112" t="n">
        <f aca="false">IFERROR((I12-M12)*10000,0)</f>
        <v>231.477740053057</v>
      </c>
      <c r="O12" s="2"/>
      <c r="P12" s="2"/>
      <c r="Q12" s="2"/>
      <c r="R12" s="2"/>
      <c r="S12" s="2"/>
      <c r="T12" s="2"/>
    </row>
    <row r="13" customFormat="false" ht="17.25" hidden="false" customHeight="true" outlineLevel="0" collapsed="false">
      <c r="A13" s="113" t="s">
        <v>126</v>
      </c>
      <c r="B13" s="114" t="n">
        <v>1736.8</v>
      </c>
      <c r="C13" s="114" t="n">
        <v>1756.6</v>
      </c>
      <c r="D13" s="115" t="n">
        <f aca="false">C13-B13</f>
        <v>19.8</v>
      </c>
      <c r="E13" s="2"/>
      <c r="F13" s="114" t="n">
        <v>1416.2</v>
      </c>
      <c r="G13" s="116" t="n">
        <f aca="false">IFERROR((B13-F13)/ABS(F13),"-")</f>
        <v>0.226380454738031</v>
      </c>
      <c r="H13" s="2"/>
      <c r="I13" s="114" t="n">
        <v>1736.8</v>
      </c>
      <c r="J13" s="114" t="n">
        <v>1756.6</v>
      </c>
      <c r="K13" s="115" t="n">
        <f aca="false">J13-I13</f>
        <v>19.8</v>
      </c>
      <c r="L13" s="2"/>
      <c r="M13" s="114" t="n">
        <v>1416.2</v>
      </c>
      <c r="N13" s="116" t="n">
        <f aca="false">IFERROR((I13-M13)/ABS(M13),"-")</f>
        <v>0.226380454738031</v>
      </c>
      <c r="O13" s="2"/>
      <c r="P13" s="2"/>
      <c r="Q13" s="2"/>
      <c r="R13" s="2"/>
      <c r="S13" s="2"/>
      <c r="T13" s="2"/>
    </row>
    <row r="14" customFormat="false" ht="17.25" hidden="false" customHeight="true" outlineLevel="0" collapsed="false">
      <c r="A14" s="2" t="s">
        <v>127</v>
      </c>
      <c r="B14" s="104" t="n">
        <v>2302.1</v>
      </c>
      <c r="C14" s="104" t="n">
        <v>2550.5</v>
      </c>
      <c r="D14" s="105" t="n">
        <f aca="false">C14-B14</f>
        <v>248.4</v>
      </c>
      <c r="E14" s="2"/>
      <c r="F14" s="104" t="n">
        <v>1509.8</v>
      </c>
      <c r="G14" s="106" t="n">
        <f aca="false">IFERROR((B14-F14)/ABS(F14),"-")</f>
        <v>0.524771492912969</v>
      </c>
      <c r="H14" s="2"/>
      <c r="I14" s="104" t="n">
        <v>2302.1</v>
      </c>
      <c r="J14" s="104" t="n">
        <v>2550.5</v>
      </c>
      <c r="K14" s="105" t="n">
        <f aca="false">J14-I14</f>
        <v>248.4</v>
      </c>
      <c r="L14" s="2"/>
      <c r="M14" s="104" t="n">
        <v>1509.8</v>
      </c>
      <c r="N14" s="106" t="n">
        <f aca="false">IFERROR((I14-M14)/ABS(M14),"-")</f>
        <v>0.524771492912969</v>
      </c>
      <c r="O14" s="2"/>
      <c r="P14" s="2"/>
      <c r="Q14" s="2"/>
      <c r="R14" s="2"/>
      <c r="S14" s="2"/>
      <c r="T14" s="2"/>
    </row>
    <row r="15" customFormat="false" ht="17.25" hidden="false" customHeight="true" outlineLevel="0" collapsed="false">
      <c r="A15" s="2" t="s">
        <v>128</v>
      </c>
      <c r="B15" s="104" t="n">
        <v>692.9</v>
      </c>
      <c r="C15" s="104" t="n">
        <v>680.7</v>
      </c>
      <c r="D15" s="105" t="n">
        <f aca="false">C15-B15</f>
        <v>-12.1999999999999</v>
      </c>
      <c r="E15" s="2"/>
      <c r="F15" s="104" t="n">
        <v>628.7</v>
      </c>
      <c r="G15" s="106" t="n">
        <f aca="false">IFERROR((B15-F15)/ABS(F15),"-")</f>
        <v>0.102115476379831</v>
      </c>
      <c r="H15" s="2"/>
      <c r="I15" s="104" t="n">
        <v>692.9</v>
      </c>
      <c r="J15" s="104" t="n">
        <v>680.7</v>
      </c>
      <c r="K15" s="105" t="n">
        <f aca="false">J15-I15</f>
        <v>-12.1999999999999</v>
      </c>
      <c r="L15" s="2"/>
      <c r="M15" s="104" t="n">
        <v>628.7</v>
      </c>
      <c r="N15" s="106" t="n">
        <f aca="false">IFERROR((I15-M15)/ABS(M15),"-")</f>
        <v>0.102115476379831</v>
      </c>
      <c r="O15" s="2"/>
      <c r="P15" s="2"/>
      <c r="Q15" s="2"/>
      <c r="R15" s="2"/>
      <c r="S15" s="2"/>
      <c r="T15" s="2"/>
    </row>
    <row r="16" customFormat="false" ht="17.25" hidden="false" customHeight="true" outlineLevel="0" collapsed="false">
      <c r="A16" s="100" t="s">
        <v>129</v>
      </c>
      <c r="B16" s="101" t="n">
        <f aca="false">B13+B14+B15</f>
        <v>4731.8</v>
      </c>
      <c r="C16" s="101" t="n">
        <f aca="false">C13+C14+C15</f>
        <v>4987.8</v>
      </c>
      <c r="D16" s="102" t="n">
        <f aca="false">C16-B16</f>
        <v>256.000000000001</v>
      </c>
      <c r="E16" s="2"/>
      <c r="F16" s="101" t="n">
        <f aca="false">F13+F14+F15</f>
        <v>3554.7</v>
      </c>
      <c r="G16" s="103" t="n">
        <f aca="false">IFERROR((B16-F16)/ABS(F16),"-")</f>
        <v>0.33113905533519</v>
      </c>
      <c r="H16" s="2"/>
      <c r="I16" s="101" t="n">
        <f aca="false">I13+I14+I15</f>
        <v>4731.8</v>
      </c>
      <c r="J16" s="101" t="n">
        <f aca="false">J13+J14+J15</f>
        <v>4987.8</v>
      </c>
      <c r="K16" s="102" t="n">
        <f aca="false">J16-I16</f>
        <v>256.000000000001</v>
      </c>
      <c r="L16" s="2"/>
      <c r="M16" s="101" t="n">
        <f aca="false">M13+M14+M15</f>
        <v>3554.7</v>
      </c>
      <c r="N16" s="103" t="n">
        <f aca="false">IFERROR((I16-M16)/ABS(M16),"-")</f>
        <v>0.33113905533519</v>
      </c>
      <c r="O16" s="2"/>
      <c r="P16" s="2"/>
      <c r="Q16" s="2"/>
      <c r="R16" s="2"/>
      <c r="S16" s="2"/>
      <c r="T16" s="2"/>
    </row>
    <row r="17" s="117" customFormat="true" ht="17.25" hidden="false" customHeight="true" outlineLevel="0" collapsed="false">
      <c r="A17" s="107" t="s">
        <v>130</v>
      </c>
      <c r="B17" s="108" t="n">
        <f aca="false">B11-B16</f>
        <v>1008.96</v>
      </c>
      <c r="C17" s="108" t="n">
        <f aca="false">C11-C16</f>
        <v>980.129999999999</v>
      </c>
      <c r="D17" s="109" t="n">
        <f aca="false">B17-C17</f>
        <v>28.8300000000017</v>
      </c>
      <c r="E17" s="2"/>
      <c r="F17" s="108" t="n">
        <f aca="false">F11-F16</f>
        <v>511.87</v>
      </c>
      <c r="G17" s="110" t="n">
        <f aca="false">IFERROR((B17-F17)/ABS(F17),"-")</f>
        <v>0.971125481079181</v>
      </c>
      <c r="H17" s="2"/>
      <c r="I17" s="108" t="n">
        <f aca="false">I11-I16</f>
        <v>1008.96</v>
      </c>
      <c r="J17" s="108" t="n">
        <f aca="false">J11-J16</f>
        <v>980.129999999999</v>
      </c>
      <c r="K17" s="109" t="n">
        <f aca="false">I17-J17</f>
        <v>28.8300000000017</v>
      </c>
      <c r="L17" s="2"/>
      <c r="M17" s="108" t="n">
        <f aca="false">M11-M16</f>
        <v>511.87</v>
      </c>
      <c r="N17" s="110" t="n">
        <f aca="false">IFERROR((I17-M17)/ABS(M17),"-")</f>
        <v>0.971125481079181</v>
      </c>
      <c r="O17" s="2"/>
      <c r="P17" s="2"/>
      <c r="Q17" s="2"/>
      <c r="R17" s="2"/>
      <c r="S17" s="2"/>
      <c r="T17" s="2"/>
    </row>
    <row r="18" s="117" customFormat="true" ht="17.25" hidden="false" customHeight="true" outlineLevel="0" collapsed="false">
      <c r="A18" s="2" t="s">
        <v>131</v>
      </c>
      <c r="B18" s="111" t="n">
        <f aca="false">IFERROR(B17/B9,0)</f>
        <v>0.145241810570683</v>
      </c>
      <c r="C18" s="111" t="n">
        <f aca="false">IFERROR(C17/C9,0)</f>
        <v>0.135907750290152</v>
      </c>
      <c r="D18" s="112" t="n">
        <f aca="false">IFERROR((B18-C18)*10000,0)</f>
        <v>93.3406028053124</v>
      </c>
      <c r="E18" s="2"/>
      <c r="F18" s="111" t="n">
        <f aca="false">IFERROR(F17/F9,0)</f>
        <v>0.10110672826789</v>
      </c>
      <c r="G18" s="112" t="n">
        <f aca="false">IFERROR((B18-F18)*10000,0)</f>
        <v>441.350823027931</v>
      </c>
      <c r="H18" s="2"/>
      <c r="I18" s="111" t="n">
        <f aca="false">IFERROR(I17/I9,0)</f>
        <v>0.145241810570683</v>
      </c>
      <c r="J18" s="111" t="n">
        <f aca="false">IFERROR(J17/J9,0)</f>
        <v>0.135907750290152</v>
      </c>
      <c r="K18" s="112" t="n">
        <f aca="false">IFERROR((I18-J18)*10000,0)</f>
        <v>93.3406028053124</v>
      </c>
      <c r="L18" s="2"/>
      <c r="M18" s="111" t="n">
        <f aca="false">IFERROR(M17/M9,0)</f>
        <v>0.10110672826789</v>
      </c>
      <c r="N18" s="112" t="n">
        <f aca="false">IFERROR((I18-M18)*10000,0)</f>
        <v>441.350823027931</v>
      </c>
      <c r="O18" s="2"/>
      <c r="P18" s="2"/>
      <c r="Q18" s="2"/>
      <c r="R18" s="2"/>
      <c r="S18" s="2"/>
      <c r="T18" s="2"/>
    </row>
    <row r="19" s="117" customFormat="true" ht="17.25" hidden="false" customHeight="true" outlineLevel="0" collapsed="false">
      <c r="A19" s="118"/>
      <c r="B19" s="119"/>
      <c r="C19" s="119"/>
      <c r="D19" s="120"/>
      <c r="E19" s="118"/>
      <c r="F19" s="119"/>
      <c r="G19" s="120"/>
      <c r="H19" s="118"/>
      <c r="I19" s="119"/>
      <c r="J19" s="119"/>
      <c r="K19" s="120"/>
      <c r="L19" s="118"/>
      <c r="M19" s="119"/>
      <c r="N19" s="120"/>
      <c r="O19" s="118"/>
    </row>
    <row r="20" s="117" customFormat="true" ht="17.2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="117" customFormat="true" ht="17.25" hidden="false" customHeight="true" outlineLevel="0" collapsed="false">
      <c r="A21" s="131" t="s">
        <v>132</v>
      </c>
      <c r="B21" s="132"/>
      <c r="C21" s="132"/>
      <c r="D21" s="133"/>
      <c r="E21" s="2"/>
      <c r="F21" s="132"/>
      <c r="G21" s="132"/>
      <c r="H21" s="2"/>
      <c r="I21" s="132"/>
      <c r="J21" s="132"/>
      <c r="K21" s="133"/>
      <c r="L21" s="2"/>
      <c r="M21" s="132"/>
      <c r="N21" s="132"/>
      <c r="O21" s="2"/>
      <c r="P21" s="2"/>
      <c r="Q21" s="2"/>
      <c r="R21" s="2"/>
      <c r="S21" s="2"/>
      <c r="T21" s="2"/>
    </row>
    <row r="22" customFormat="false" ht="12.75" hidden="false" customHeight="true" outlineLevel="0" collapsed="false">
      <c r="A22" s="2" t="s">
        <v>133</v>
      </c>
      <c r="B22" s="104" t="n">
        <v>26</v>
      </c>
      <c r="C22" s="104" t="n">
        <v>26</v>
      </c>
      <c r="D22" s="105" t="n">
        <f aca="false">C22-B22</f>
        <v>0</v>
      </c>
      <c r="E22" s="2"/>
      <c r="F22" s="104" t="n">
        <v>22</v>
      </c>
      <c r="G22" s="106" t="n">
        <f aca="false">IFERROR((B22-F22)/ABS(F22),"-")</f>
        <v>0.181818181818182</v>
      </c>
      <c r="H22" s="2"/>
      <c r="I22" s="104" t="n">
        <v>26</v>
      </c>
      <c r="J22" s="104" t="n">
        <v>26</v>
      </c>
      <c r="K22" s="105" t="n">
        <f aca="false">J22-I22</f>
        <v>0</v>
      </c>
      <c r="L22" s="2"/>
      <c r="M22" s="104" t="n">
        <v>22</v>
      </c>
      <c r="N22" s="106" t="n">
        <f aca="false">IFERROR((I22-M22)/ABS(M22),"-")</f>
        <v>0.181818181818182</v>
      </c>
      <c r="O22" s="2"/>
      <c r="P22" s="2"/>
      <c r="Q22" s="2"/>
      <c r="R22" s="2"/>
      <c r="S22" s="2"/>
      <c r="T22" s="2"/>
    </row>
    <row r="23" customFormat="false" ht="12.75" hidden="false" customHeight="true" outlineLevel="0" collapsed="false">
      <c r="A23" s="2" t="s">
        <v>134</v>
      </c>
      <c r="B23" s="104" t="n">
        <v>26</v>
      </c>
      <c r="C23" s="104" t="n">
        <v>26</v>
      </c>
      <c r="D23" s="105" t="n">
        <f aca="false">C23-B23</f>
        <v>0</v>
      </c>
      <c r="E23" s="2"/>
      <c r="F23" s="104" t="n">
        <v>21</v>
      </c>
      <c r="G23" s="106" t="n">
        <f aca="false">IFERROR((B23-F23)/ABS(F23),"-")</f>
        <v>0.238095238095238</v>
      </c>
      <c r="H23" s="2"/>
      <c r="I23" s="104" t="n">
        <v>26</v>
      </c>
      <c r="J23" s="104" t="n">
        <v>26</v>
      </c>
      <c r="K23" s="105" t="n">
        <f aca="false">J23-I23</f>
        <v>0</v>
      </c>
      <c r="L23" s="2"/>
      <c r="M23" s="104" t="n">
        <v>21</v>
      </c>
      <c r="N23" s="106" t="n">
        <f aca="false">IFERROR((I23-M23)/ABS(M23),"-")</f>
        <v>0.238095238095238</v>
      </c>
      <c r="O23" s="2"/>
      <c r="P23" s="2"/>
      <c r="Q23" s="2"/>
      <c r="R23" s="2"/>
      <c r="S23" s="2"/>
      <c r="T23" s="2"/>
    </row>
    <row r="24" customFormat="false" ht="12.75" hidden="false" customHeight="true" outlineLevel="0" collapsed="false">
      <c r="A24" s="2" t="s">
        <v>135</v>
      </c>
      <c r="B24" s="104" t="n">
        <v>35</v>
      </c>
      <c r="C24" s="104" t="n">
        <v>35</v>
      </c>
      <c r="D24" s="105" t="n">
        <f aca="false">C24-B24</f>
        <v>0</v>
      </c>
      <c r="E24" s="2"/>
      <c r="F24" s="104" t="n">
        <v>27</v>
      </c>
      <c r="G24" s="106" t="n">
        <f aca="false">IFERROR((B24-F24)/ABS(F24),"-")</f>
        <v>0.296296296296296</v>
      </c>
      <c r="H24" s="2"/>
      <c r="I24" s="104" t="n">
        <v>35</v>
      </c>
      <c r="J24" s="104" t="n">
        <v>35</v>
      </c>
      <c r="K24" s="105" t="n">
        <f aca="false">J24-I24</f>
        <v>0</v>
      </c>
      <c r="L24" s="2"/>
      <c r="M24" s="104" t="n">
        <v>27</v>
      </c>
      <c r="N24" s="106" t="n">
        <f aca="false">IFERROR((I24-M24)/ABS(M24),"-")</f>
        <v>0.296296296296296</v>
      </c>
      <c r="O24" s="2"/>
      <c r="P24" s="2"/>
      <c r="Q24" s="2"/>
      <c r="R24" s="2"/>
      <c r="S24" s="2"/>
      <c r="T24" s="2"/>
    </row>
    <row r="25" customFormat="false" ht="12.75" hidden="false" customHeight="true" outlineLevel="0" collapsed="false">
      <c r="A25" s="2" t="s">
        <v>136</v>
      </c>
      <c r="B25" s="104" t="n">
        <v>14</v>
      </c>
      <c r="C25" s="104" t="n">
        <v>13</v>
      </c>
      <c r="D25" s="105" t="n">
        <f aca="false">C25-B25</f>
        <v>-1</v>
      </c>
      <c r="E25" s="2"/>
      <c r="F25" s="104" t="n">
        <v>12</v>
      </c>
      <c r="G25" s="106" t="n">
        <f aca="false">IFERROR((B25-F25)/ABS(F25),"-")</f>
        <v>0.166666666666667</v>
      </c>
      <c r="H25" s="2"/>
      <c r="I25" s="104" t="n">
        <v>14</v>
      </c>
      <c r="J25" s="104" t="n">
        <v>13</v>
      </c>
      <c r="K25" s="105" t="n">
        <f aca="false">J25-I25</f>
        <v>-1</v>
      </c>
      <c r="L25" s="2"/>
      <c r="M25" s="104" t="n">
        <v>12</v>
      </c>
      <c r="N25" s="106" t="n">
        <f aca="false">IFERROR((I25-M25)/ABS(M25),"-")</f>
        <v>0.166666666666667</v>
      </c>
      <c r="O25" s="2"/>
      <c r="P25" s="2"/>
      <c r="Q25" s="2"/>
      <c r="R25" s="2"/>
      <c r="S25" s="2"/>
      <c r="T25" s="2"/>
    </row>
    <row r="26" customFormat="false" ht="12.75" hidden="false" customHeight="true" outlineLevel="0" collapsed="false">
      <c r="A26" s="122" t="s">
        <v>137</v>
      </c>
      <c r="B26" s="123" t="n">
        <f aca="false">B22+B23+B24+B25</f>
        <v>101</v>
      </c>
      <c r="C26" s="123" t="n">
        <f aca="false">C22+C23+C24+C25</f>
        <v>100</v>
      </c>
      <c r="D26" s="124" t="n">
        <f aca="false">C26-B26</f>
        <v>-1</v>
      </c>
      <c r="E26" s="2"/>
      <c r="F26" s="123" t="n">
        <f aca="false">F22+F23+F24+F25</f>
        <v>82</v>
      </c>
      <c r="G26" s="125" t="n">
        <f aca="false">IFERROR((B26-F26)/ABS(F26),"-")</f>
        <v>0.231707317073171</v>
      </c>
      <c r="H26" s="2"/>
      <c r="I26" s="123" t="n">
        <f aca="false">I22+I23+I24+I25</f>
        <v>101</v>
      </c>
      <c r="J26" s="123" t="n">
        <f aca="false">J22+J23+J24+J25</f>
        <v>100</v>
      </c>
      <c r="K26" s="124" t="n">
        <f aca="false">J26-I26</f>
        <v>-1</v>
      </c>
      <c r="L26" s="2"/>
      <c r="M26" s="123" t="n">
        <f aca="false">M22+M23+M24+M25</f>
        <v>82</v>
      </c>
      <c r="N26" s="125" t="n">
        <f aca="false">IFERROR((I26-M26)/ABS(M26),"-")</f>
        <v>0.231707317073171</v>
      </c>
      <c r="O26" s="2"/>
      <c r="P26" s="2"/>
      <c r="Q26" s="2"/>
      <c r="R26" s="2"/>
      <c r="S26" s="2"/>
      <c r="T26" s="2"/>
    </row>
    <row r="27" customFormat="false" ht="13.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3.5" hidden="false" customHeight="true" outlineLevel="0" collapsed="false">
      <c r="A28" s="13" t="s">
        <v>138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7.25" hidden="false" customHeight="true" outlineLevel="0" collapsed="false">
      <c r="A29" s="126" t="s">
        <v>139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7.25" hidden="false" customHeight="true" outlineLevel="0" collapsed="false">
      <c r="A30" s="126" t="s">
        <v>140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7.25" hidden="false" customHeight="true" outlineLevel="0" collapsed="false">
      <c r="A31" s="126" t="s">
        <v>141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7.25" hidden="false" customHeight="true" outlineLevel="0" collapsed="false">
      <c r="A32" s="126" t="s">
        <v>142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7.25" hidden="false" customHeight="true" outlineLevel="0" collapsed="false">
      <c r="A33" s="126" t="s">
        <v>143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7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2" hidden="false" customHeight="true" outlineLevel="0" collapsed="false">
      <c r="A35" s="127" t="s">
        <v>226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2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2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2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2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2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2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12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2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12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2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2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2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12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12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12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customFormat="false" ht="12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</sheetData>
  <mergeCells count="4">
    <mergeCell ref="B6:D6"/>
    <mergeCell ref="F6:G6"/>
    <mergeCell ref="I6:K6"/>
    <mergeCell ref="M6:N6"/>
  </mergeCells>
  <conditionalFormatting sqref="A8:D16 F8:G16">
    <cfRule type="expression" priority="2" aboveAverage="0" equalAverage="0" bottom="0" percent="0" rank="0" text="" dxfId="0">
      <formula>AND(C8=0,D8=0,E8=0,F8=0,G8=0)</formula>
    </cfRule>
  </conditionalFormatting>
  <conditionalFormatting sqref="I8:J16">
    <cfRule type="expression" priority="3" aboveAverage="0" equalAverage="0" bottom="0" percent="0" rank="0" text="" dxfId="0">
      <formula>AND(K8=0,L8=0,M8=0,N8=0,O8=0)</formula>
    </cfRule>
  </conditionalFormatting>
  <conditionalFormatting sqref="M8:M16">
    <cfRule type="expression" priority="4" aboveAverage="0" equalAverage="0" bottom="0" percent="0" rank="0" text="" dxfId="0">
      <formula>AND(O8=0,P8=0,#ref!=0,Q8=0,R8=0)</formula>
    </cfRule>
  </conditionalFormatting>
  <conditionalFormatting sqref="N8:N16">
    <cfRule type="expression" priority="5" aboveAverage="0" equalAverage="0" bottom="0" percent="0" rank="0" text="" dxfId="0">
      <formula>AND(P8=0,#ref!=0,Q8=0,R8=0,S8=0)</formula>
    </cfRule>
  </conditionalFormatting>
  <conditionalFormatting sqref="K8:K16">
    <cfRule type="expression" priority="6" aboveAverage="0" equalAverage="0" bottom="0" percent="0" rank="0" text="" dxfId="0">
      <formula>AND(M8=0,N8=0,O8=0,P8=0,#ref!=0)</formula>
    </cfRule>
  </conditionalFormatting>
  <conditionalFormatting sqref="D9:D22 K19:K22">
    <cfRule type="cellIs" priority="7" operator="lessThan" aboveAverage="0" equalAverage="0" bottom="0" percent="0" rank="0" text="" dxfId="1">
      <formula>0</formula>
    </cfRule>
  </conditionalFormatting>
  <conditionalFormatting sqref="D9">
    <cfRule type="cellIs" priority="8" operator="lessThan" aboveAverage="0" equalAverage="0" bottom="0" percent="0" rank="0" text="" dxfId="2">
      <formula>0</formula>
    </cfRule>
  </conditionalFormatting>
  <conditionalFormatting sqref="D11">
    <cfRule type="cellIs" priority="9" operator="lessThan" aboveAverage="0" equalAverage="0" bottom="0" percent="0" rank="0" text="" dxfId="2">
      <formula>0</formula>
    </cfRule>
  </conditionalFormatting>
  <conditionalFormatting sqref="D17">
    <cfRule type="cellIs" priority="10" operator="lessThan" aboveAverage="0" equalAverage="0" bottom="0" percent="0" rank="0" text="" dxfId="2">
      <formula>0</formula>
    </cfRule>
  </conditionalFormatting>
  <conditionalFormatting sqref="K9:K18">
    <cfRule type="cellIs" priority="11" operator="lessThan" aboveAverage="0" equalAverage="0" bottom="0" percent="0" rank="0" text="" dxfId="1">
      <formula>0</formula>
    </cfRule>
  </conditionalFormatting>
  <conditionalFormatting sqref="K9">
    <cfRule type="cellIs" priority="12" operator="lessThan" aboveAverage="0" equalAverage="0" bottom="0" percent="0" rank="0" text="" dxfId="2">
      <formula>0</formula>
    </cfRule>
  </conditionalFormatting>
  <conditionalFormatting sqref="K11">
    <cfRule type="cellIs" priority="13" operator="lessThan" aboveAverage="0" equalAverage="0" bottom="0" percent="0" rank="0" text="" dxfId="2">
      <formula>0</formula>
    </cfRule>
  </conditionalFormatting>
  <conditionalFormatting sqref="K17">
    <cfRule type="cellIs" priority="14" operator="lessThan" aboveAverage="0" equalAverage="0" bottom="0" percent="0" rank="0" text="" dxfId="2">
      <formula>0</formula>
    </cfRule>
  </conditionalFormatting>
  <conditionalFormatting sqref="D22">
    <cfRule type="cellIs" priority="15" operator="lessThan" aboveAverage="0" equalAverage="0" bottom="0" percent="0" rank="0" text="" dxfId="2">
      <formula>0</formula>
    </cfRule>
  </conditionalFormatting>
  <conditionalFormatting sqref="K22">
    <cfRule type="cellIs" priority="16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5" right="0.5" top="0.5" bottom="0.5" header="0.511811023622047" footer="0.511805555555556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&amp;K8a7e6eSetpoint• Finance  ·  Q1 2026  ·  Confidential&amp;R&amp;"Arial,Regular"&amp;8 &amp;K8a7e6eAll figures in $000s  ·  Budget = approved FY2026 plan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7E6E"/>
    <pageSetUpPr fitToPage="true"/>
  </sheetPr>
  <dimension ref="A1:T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4.2890625" defaultRowHeight="15" zeroHeight="false" outlineLevelRow="0" outlineLevelCol="0"/>
  <cols>
    <col collapsed="false" customWidth="true" hidden="false" outlineLevel="0" max="1" min="1" style="128" width="26"/>
    <col collapsed="false" customWidth="true" hidden="false" outlineLevel="0" max="4" min="2" style="128" width="10"/>
    <col collapsed="false" customWidth="true" hidden="false" outlineLevel="0" max="5" min="5" style="128" width="1.57"/>
    <col collapsed="false" customWidth="true" hidden="false" outlineLevel="0" max="7" min="6" style="128" width="10"/>
    <col collapsed="false" customWidth="true" hidden="false" outlineLevel="0" max="8" min="8" style="128" width="1.57"/>
    <col collapsed="false" customWidth="true" hidden="false" outlineLevel="0" max="11" min="9" style="128" width="10"/>
    <col collapsed="false" customWidth="true" hidden="false" outlineLevel="0" max="12" min="12" style="128" width="1.57"/>
    <col collapsed="false" customWidth="true" hidden="false" outlineLevel="0" max="14" min="13" style="128" width="10"/>
    <col collapsed="false" customWidth="false" hidden="false" outlineLevel="0" max="16384" min="15" style="128" width="4.29"/>
  </cols>
  <sheetData>
    <row r="1" customFormat="false" ht="18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2" hidden="false" customHeight="true" outlineLevel="0" collapsed="false">
      <c r="A2" s="7" t="s">
        <v>227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30" hidden="false" customHeight="true" outlineLevel="0" collapsed="false">
      <c r="A3" s="87" t="s">
        <v>146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.75" hidden="false" customHeight="true" outlineLevel="0" collapsed="false">
      <c r="A4" s="88" t="s">
        <v>228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="129" customFormat="true" ht="13.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="1" customFormat="true" ht="15.75" hidden="false" customHeight="true" outlineLevel="0" collapsed="false">
      <c r="A6" s="90"/>
      <c r="B6" s="91" t="s">
        <v>113</v>
      </c>
      <c r="C6" s="91"/>
      <c r="D6" s="91"/>
      <c r="E6" s="92"/>
      <c r="F6" s="91" t="s">
        <v>114</v>
      </c>
      <c r="G6" s="91"/>
      <c r="H6" s="92"/>
      <c r="I6" s="91" t="s">
        <v>115</v>
      </c>
      <c r="J6" s="91"/>
      <c r="K6" s="91"/>
      <c r="L6" s="92"/>
      <c r="M6" s="91" t="s">
        <v>114</v>
      </c>
      <c r="N6" s="91"/>
      <c r="O6" s="2"/>
      <c r="P6" s="2"/>
      <c r="Q6" s="2"/>
      <c r="R6" s="2"/>
      <c r="S6" s="2"/>
      <c r="T6" s="2"/>
    </row>
    <row r="7" s="1" customFormat="true" ht="17.25" hidden="false" customHeight="true" outlineLevel="0" collapsed="false">
      <c r="A7" s="93"/>
      <c r="B7" s="94" t="s">
        <v>97</v>
      </c>
      <c r="C7" s="94" t="s">
        <v>98</v>
      </c>
      <c r="D7" s="94" t="s">
        <v>116</v>
      </c>
      <c r="E7" s="95"/>
      <c r="F7" s="94" t="s">
        <v>97</v>
      </c>
      <c r="G7" s="94" t="s">
        <v>117</v>
      </c>
      <c r="H7" s="95"/>
      <c r="I7" s="94" t="s">
        <v>97</v>
      </c>
      <c r="J7" s="94" t="s">
        <v>98</v>
      </c>
      <c r="K7" s="94" t="s">
        <v>116</v>
      </c>
      <c r="L7" s="95"/>
      <c r="M7" s="94" t="s">
        <v>97</v>
      </c>
      <c r="N7" s="94" t="s">
        <v>117</v>
      </c>
      <c r="O7" s="2"/>
      <c r="P7" s="2"/>
      <c r="Q7" s="2"/>
      <c r="R7" s="2"/>
      <c r="S7" s="2"/>
      <c r="T7" s="2"/>
    </row>
    <row r="8" s="130" customFormat="true" ht="17.25" hidden="false" customHeight="true" outlineLevel="0" collapsed="false">
      <c r="A8" s="96"/>
      <c r="B8" s="97" t="s">
        <v>118</v>
      </c>
      <c r="C8" s="97" t="s">
        <v>118</v>
      </c>
      <c r="D8" s="97" t="s">
        <v>118</v>
      </c>
      <c r="E8" s="98"/>
      <c r="F8" s="97" t="s">
        <v>119</v>
      </c>
      <c r="G8" s="97" t="s">
        <v>120</v>
      </c>
      <c r="H8" s="98"/>
      <c r="I8" s="97" t="s">
        <v>121</v>
      </c>
      <c r="J8" s="97" t="s">
        <v>121</v>
      </c>
      <c r="K8" s="97" t="s">
        <v>121</v>
      </c>
      <c r="L8" s="98"/>
      <c r="M8" s="97" t="s">
        <v>122</v>
      </c>
      <c r="N8" s="97" t="s">
        <v>120</v>
      </c>
      <c r="O8" s="2"/>
      <c r="P8" s="2"/>
      <c r="Q8" s="2"/>
      <c r="R8" s="2"/>
      <c r="S8" s="2"/>
      <c r="T8" s="2"/>
    </row>
    <row r="9" customFormat="false" ht="17.25" hidden="false" customHeight="true" outlineLevel="0" collapsed="false">
      <c r="A9" s="100" t="s">
        <v>105</v>
      </c>
      <c r="B9" s="101" t="n">
        <v>25000</v>
      </c>
      <c r="C9" s="101" t="n">
        <v>25000</v>
      </c>
      <c r="D9" s="102" t="n">
        <f aca="false">B9-C9</f>
        <v>0</v>
      </c>
      <c r="E9" s="2"/>
      <c r="F9" s="101" t="n">
        <v>19077</v>
      </c>
      <c r="G9" s="103" t="n">
        <f aca="false">IFERROR((B9-F9)/ABS(F9),"-")</f>
        <v>0.310478586779892</v>
      </c>
      <c r="H9" s="2"/>
      <c r="I9" s="101" t="n">
        <v>25000</v>
      </c>
      <c r="J9" s="101" t="n">
        <v>25000</v>
      </c>
      <c r="K9" s="102" t="n">
        <f aca="false">I9-J9</f>
        <v>0</v>
      </c>
      <c r="L9" s="2"/>
      <c r="M9" s="101" t="n">
        <v>19077</v>
      </c>
      <c r="N9" s="103" t="n">
        <f aca="false">IFERROR((I9-M9)/ABS(M9),"-")</f>
        <v>0.310478586779892</v>
      </c>
      <c r="O9" s="2"/>
      <c r="P9" s="2"/>
      <c r="Q9" s="2"/>
      <c r="R9" s="2"/>
      <c r="S9" s="2"/>
      <c r="T9" s="2"/>
    </row>
    <row r="10" customFormat="false" ht="17.25" hidden="false" customHeight="true" outlineLevel="0" collapsed="false">
      <c r="A10" s="2" t="s">
        <v>106</v>
      </c>
      <c r="B10" s="104" t="n">
        <v>4627.31</v>
      </c>
      <c r="C10" s="104" t="n">
        <v>6770.4</v>
      </c>
      <c r="D10" s="105" t="n">
        <f aca="false">B10-C10</f>
        <v>-2143.09</v>
      </c>
      <c r="E10" s="2"/>
      <c r="F10" s="104" t="n">
        <v>1541.91</v>
      </c>
      <c r="G10" s="106" t="n">
        <f aca="false">IFERROR((B10-F10)/ABS(F10),"-")</f>
        <v>2.00102470312794</v>
      </c>
      <c r="H10" s="2"/>
      <c r="I10" s="104" t="n">
        <v>4627.31</v>
      </c>
      <c r="J10" s="104" t="n">
        <v>6770.4</v>
      </c>
      <c r="K10" s="105" t="n">
        <f aca="false">I10-J10</f>
        <v>-2143.09</v>
      </c>
      <c r="L10" s="2"/>
      <c r="M10" s="104" t="n">
        <v>1541.91</v>
      </c>
      <c r="N10" s="106" t="n">
        <f aca="false">IFERROR((I10-M10)/ABS(M10),"-")</f>
        <v>2.00102470312794</v>
      </c>
      <c r="O10" s="2"/>
      <c r="P10" s="2"/>
      <c r="Q10" s="2"/>
      <c r="R10" s="2"/>
      <c r="S10" s="2"/>
      <c r="T10" s="2"/>
    </row>
    <row r="11" customFormat="false" ht="17.25" hidden="false" customHeight="true" outlineLevel="0" collapsed="false">
      <c r="A11" s="2" t="s">
        <v>148</v>
      </c>
      <c r="B11" s="104" t="n">
        <v>477.84</v>
      </c>
      <c r="C11" s="104" t="n">
        <v>574</v>
      </c>
      <c r="D11" s="105" t="n">
        <f aca="false">B11-C11</f>
        <v>-96.16</v>
      </c>
      <c r="E11" s="2"/>
      <c r="F11" s="104" t="n">
        <v>353.05</v>
      </c>
      <c r="G11" s="106" t="n">
        <f aca="false">IFERROR((B11-F11)/ABS(F11),"-")</f>
        <v>0.353462682339612</v>
      </c>
      <c r="H11" s="2"/>
      <c r="I11" s="104" t="n">
        <v>477.84</v>
      </c>
      <c r="J11" s="104" t="n">
        <v>574</v>
      </c>
      <c r="K11" s="105" t="n">
        <f aca="false">I11-J11</f>
        <v>-96.16</v>
      </c>
      <c r="L11" s="2"/>
      <c r="M11" s="104" t="n">
        <v>353.05</v>
      </c>
      <c r="N11" s="106" t="n">
        <f aca="false">IFERROR((I11-M11)/ABS(M11),"-")</f>
        <v>0.353462682339612</v>
      </c>
      <c r="O11" s="2"/>
      <c r="P11" s="2"/>
      <c r="Q11" s="2"/>
      <c r="R11" s="2"/>
      <c r="S11" s="2"/>
      <c r="T11" s="2"/>
    </row>
    <row r="12" s="130" customFormat="true" ht="17.25" hidden="false" customHeight="true" outlineLevel="0" collapsed="false">
      <c r="A12" s="2" t="s">
        <v>149</v>
      </c>
      <c r="B12" s="104" t="n">
        <v>-134.84</v>
      </c>
      <c r="C12" s="104" t="n">
        <v>-114.8</v>
      </c>
      <c r="D12" s="105" t="n">
        <f aca="false">C12-B12</f>
        <v>20.04</v>
      </c>
      <c r="E12" s="2"/>
      <c r="F12" s="104" t="n">
        <v>-94.58</v>
      </c>
      <c r="G12" s="106" t="n">
        <f aca="false">IFERROR((B12-F12)/ABS(F12),"-")</f>
        <v>-0.425671389300064</v>
      </c>
      <c r="H12" s="2"/>
      <c r="I12" s="104" t="n">
        <v>-134.84</v>
      </c>
      <c r="J12" s="104" t="n">
        <v>-114.8</v>
      </c>
      <c r="K12" s="105" t="n">
        <f aca="false">J12-I12</f>
        <v>20.04</v>
      </c>
      <c r="L12" s="2"/>
      <c r="M12" s="104" t="n">
        <v>-94.58</v>
      </c>
      <c r="N12" s="106" t="n">
        <f aca="false">IFERROR((I12-M12)/ABS(M12),"-")</f>
        <v>-0.425671389300064</v>
      </c>
      <c r="O12" s="2"/>
      <c r="P12" s="2"/>
      <c r="Q12" s="2"/>
      <c r="R12" s="2"/>
      <c r="S12" s="2"/>
      <c r="T12" s="2"/>
    </row>
    <row r="13" customFormat="false" ht="17.25" hidden="false" customHeight="true" outlineLevel="0" collapsed="false">
      <c r="A13" s="2" t="s">
        <v>150</v>
      </c>
      <c r="B13" s="104" t="n">
        <v>-330.31</v>
      </c>
      <c r="C13" s="104" t="n">
        <v>-229.6</v>
      </c>
      <c r="D13" s="105" t="n">
        <f aca="false">C13-B13</f>
        <v>100.71</v>
      </c>
      <c r="E13" s="2"/>
      <c r="F13" s="104" t="n">
        <v>-189.38</v>
      </c>
      <c r="G13" s="106" t="n">
        <f aca="false">IFERROR((B13-F13)/ABS(F13),"-")</f>
        <v>-0.744165170556553</v>
      </c>
      <c r="H13" s="2"/>
      <c r="I13" s="104" t="n">
        <v>-330.31</v>
      </c>
      <c r="J13" s="104" t="n">
        <v>-229.6</v>
      </c>
      <c r="K13" s="105" t="n">
        <f aca="false">J13-I13</f>
        <v>100.71</v>
      </c>
      <c r="L13" s="2"/>
      <c r="M13" s="104" t="n">
        <v>-189.38</v>
      </c>
      <c r="N13" s="106" t="n">
        <f aca="false">IFERROR((I13-M13)/ABS(M13),"-")</f>
        <v>-0.744165170556553</v>
      </c>
      <c r="O13" s="2"/>
      <c r="P13" s="2"/>
      <c r="Q13" s="2"/>
      <c r="R13" s="2"/>
      <c r="S13" s="2"/>
      <c r="T13" s="2"/>
    </row>
    <row r="14" customFormat="false" ht="17.25" hidden="false" customHeight="true" outlineLevel="0" collapsed="false">
      <c r="A14" s="131" t="s">
        <v>151</v>
      </c>
      <c r="B14" s="132" t="n">
        <f aca="false">B10+B11+B12+B13</f>
        <v>4640</v>
      </c>
      <c r="C14" s="132" t="n">
        <f aca="false">C10+C11+C12+C13</f>
        <v>7000</v>
      </c>
      <c r="D14" s="133" t="n">
        <f aca="false">B14-C14</f>
        <v>-2360</v>
      </c>
      <c r="E14" s="2"/>
      <c r="F14" s="132" t="n">
        <f aca="false">F10+F11+F12+F13</f>
        <v>1611</v>
      </c>
      <c r="G14" s="134" t="n">
        <f aca="false">IFERROR((B14-F14)/ABS(F14),"-")</f>
        <v>1.88019863438858</v>
      </c>
      <c r="H14" s="2"/>
      <c r="I14" s="132" t="n">
        <f aca="false">I10+I11+I12+I13</f>
        <v>4640</v>
      </c>
      <c r="J14" s="132" t="n">
        <f aca="false">J10+J11+J12+J13</f>
        <v>7000</v>
      </c>
      <c r="K14" s="133" t="n">
        <f aca="false">I14-J14</f>
        <v>-2360</v>
      </c>
      <c r="L14" s="2"/>
      <c r="M14" s="132" t="n">
        <f aca="false">M10+M11+M12+M13</f>
        <v>1611</v>
      </c>
      <c r="N14" s="134" t="n">
        <f aca="false">IFERROR((I14-M14)/ABS(M14),"-")</f>
        <v>1.88019863438858</v>
      </c>
      <c r="O14" s="2"/>
      <c r="P14" s="2"/>
      <c r="Q14" s="2"/>
      <c r="R14" s="2"/>
      <c r="S14" s="2"/>
      <c r="T14" s="2"/>
    </row>
    <row r="15" customFormat="false" ht="17.25" hidden="false" customHeight="true" outlineLevel="0" collapsed="false">
      <c r="A15" s="107" t="s">
        <v>73</v>
      </c>
      <c r="B15" s="108" t="n">
        <f aca="false">B9+B10+B11+B12+B13</f>
        <v>29640</v>
      </c>
      <c r="C15" s="108" t="n">
        <f aca="false">C9+C10+C11+C12+C13</f>
        <v>32000</v>
      </c>
      <c r="D15" s="109" t="n">
        <f aca="false">B15-C15</f>
        <v>-2360</v>
      </c>
      <c r="E15" s="2"/>
      <c r="F15" s="108" t="n">
        <f aca="false">F9+F10+F11+F12+F13</f>
        <v>20688</v>
      </c>
      <c r="G15" s="110" t="n">
        <f aca="false">IFERROR((B15-F15)/ABS(F15),"-")</f>
        <v>0.432714617169374</v>
      </c>
      <c r="H15" s="2"/>
      <c r="I15" s="108" t="n">
        <f aca="false">I9+I10+I11+I12+I13</f>
        <v>29640</v>
      </c>
      <c r="J15" s="108" t="n">
        <f aca="false">J9+J10+J11+J12+J13</f>
        <v>32000</v>
      </c>
      <c r="K15" s="109" t="n">
        <f aca="false">I15-J15</f>
        <v>-2360</v>
      </c>
      <c r="L15" s="2"/>
      <c r="M15" s="108" t="n">
        <f aca="false">M9+M10+M11+M12+M13</f>
        <v>20688</v>
      </c>
      <c r="N15" s="110" t="n">
        <f aca="false">IFERROR((I15-M15)/ABS(M15),"-")</f>
        <v>0.432714617169374</v>
      </c>
      <c r="O15" s="2"/>
      <c r="P15" s="2"/>
      <c r="Q15" s="2"/>
      <c r="R15" s="2"/>
      <c r="S15" s="2"/>
      <c r="T15" s="2"/>
    </row>
    <row r="16" customFormat="false" ht="17.25" hidden="false" customHeight="true" outlineLevel="0" collapsed="false">
      <c r="A16" s="220"/>
      <c r="B16" s="221"/>
      <c r="C16" s="221"/>
      <c r="D16" s="222"/>
      <c r="E16" s="2"/>
      <c r="F16" s="221"/>
      <c r="G16" s="223"/>
      <c r="H16" s="2"/>
      <c r="I16" s="221"/>
      <c r="J16" s="221"/>
      <c r="K16" s="222"/>
      <c r="L16" s="2"/>
      <c r="M16" s="221"/>
      <c r="N16" s="223"/>
      <c r="O16" s="2"/>
      <c r="P16" s="2"/>
      <c r="Q16" s="2"/>
      <c r="R16" s="2"/>
      <c r="S16" s="2"/>
      <c r="T16" s="2"/>
    </row>
    <row r="17" customFormat="false" ht="17.25" hidden="false" customHeight="true" outlineLevel="0" collapsed="false">
      <c r="A17" s="220"/>
      <c r="B17" s="221"/>
      <c r="C17" s="221"/>
      <c r="D17" s="222"/>
      <c r="E17" s="2"/>
      <c r="F17" s="221"/>
      <c r="G17" s="223"/>
      <c r="H17" s="2"/>
      <c r="I17" s="221"/>
      <c r="J17" s="221"/>
      <c r="K17" s="222"/>
      <c r="L17" s="2"/>
      <c r="M17" s="221"/>
      <c r="N17" s="223"/>
      <c r="O17" s="2"/>
      <c r="P17" s="2"/>
      <c r="Q17" s="2"/>
      <c r="R17" s="2"/>
      <c r="S17" s="2"/>
      <c r="T17" s="2"/>
    </row>
    <row r="18" s="135" customFormat="true" ht="12" hidden="false" customHeight="true" outlineLevel="0" collapsed="false">
      <c r="A18" s="7" t="s">
        <v>152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="135" customFormat="true" ht="17.25" hidden="false" customHeight="true" outlineLevel="0" collapsed="false">
      <c r="A19" s="113" t="s">
        <v>153</v>
      </c>
      <c r="B19" s="136" t="n">
        <v>0.018606</v>
      </c>
      <c r="C19" s="136" t="n">
        <v>0.013776</v>
      </c>
      <c r="D19" s="137" t="n">
        <f aca="false">IFERROR((B19-C19)*10000*-1,0)</f>
        <v>-48.3</v>
      </c>
      <c r="E19" s="2"/>
      <c r="F19" s="136" t="n">
        <v>0.014885</v>
      </c>
      <c r="G19" s="137" t="n">
        <f aca="false">IFERROR((B19-F19)*10000*-1,0)</f>
        <v>-37.21</v>
      </c>
      <c r="H19" s="2"/>
      <c r="I19" s="136" t="n">
        <v>0.018606</v>
      </c>
      <c r="J19" s="136" t="n">
        <v>0.013776</v>
      </c>
      <c r="K19" s="137" t="n">
        <f aca="false">IFERROR((I19-J19)*10000*-1,0)</f>
        <v>-48.3</v>
      </c>
      <c r="L19" s="2"/>
      <c r="M19" s="136" t="n">
        <v>0.014885</v>
      </c>
      <c r="N19" s="137" t="n">
        <f aca="false">IFERROR((I19-M19)*10000*-1,0)</f>
        <v>-37.21</v>
      </c>
      <c r="O19" s="2"/>
      <c r="P19" s="2"/>
      <c r="Q19" s="2"/>
      <c r="R19" s="2"/>
      <c r="S19" s="2"/>
      <c r="T19" s="2"/>
    </row>
    <row r="20" s="135" customFormat="true" ht="17.25" hidden="false" customHeight="true" outlineLevel="0" collapsed="false">
      <c r="A20" s="2" t="s">
        <v>154</v>
      </c>
      <c r="B20" s="111" t="n">
        <v>0.019114</v>
      </c>
      <c r="C20" s="111" t="n">
        <v>0.02296</v>
      </c>
      <c r="D20" s="112" t="n">
        <f aca="false">IFERROR((B20-C20)*10000*1,0)</f>
        <v>-38.46</v>
      </c>
      <c r="E20" s="2"/>
      <c r="F20" s="111" t="n">
        <v>0.018507</v>
      </c>
      <c r="G20" s="112" t="n">
        <f aca="false">IFERROR((B20-F20)*10000*1,0)</f>
        <v>6.07</v>
      </c>
      <c r="H20" s="2"/>
      <c r="I20" s="111" t="n">
        <v>0.019114</v>
      </c>
      <c r="J20" s="111" t="n">
        <v>0.02296</v>
      </c>
      <c r="K20" s="112" t="n">
        <f aca="false">IFERROR((I20-J20)*10000*1,0)</f>
        <v>-38.46</v>
      </c>
      <c r="L20" s="2"/>
      <c r="M20" s="111" t="n">
        <v>0.018507</v>
      </c>
      <c r="N20" s="112" t="n">
        <f aca="false">IFERROR((I20-M20)*10000*1,0)</f>
        <v>6.07</v>
      </c>
      <c r="O20" s="2"/>
      <c r="P20" s="2"/>
      <c r="Q20" s="2"/>
      <c r="R20" s="2"/>
      <c r="S20" s="2"/>
      <c r="T20" s="2"/>
    </row>
    <row r="21" s="135" customFormat="true" ht="17.25" hidden="false" customHeight="true" outlineLevel="0" collapsed="false">
      <c r="A21" s="2" t="s">
        <v>155</v>
      </c>
      <c r="B21" s="111" t="n">
        <v>0.981394</v>
      </c>
      <c r="C21" s="111" t="n">
        <v>0.986224</v>
      </c>
      <c r="D21" s="112" t="n">
        <f aca="false">IFERROR((B21-C21)*10000*1,0)</f>
        <v>-48.3</v>
      </c>
      <c r="E21" s="2"/>
      <c r="F21" s="111" t="n">
        <v>0.985115</v>
      </c>
      <c r="G21" s="112" t="n">
        <f aca="false">IFERROR((B21-F21)*10000*1,0)</f>
        <v>-37.2099999999997</v>
      </c>
      <c r="H21" s="2"/>
      <c r="I21" s="111" t="n">
        <v>0.981394</v>
      </c>
      <c r="J21" s="111" t="n">
        <v>0.986224</v>
      </c>
      <c r="K21" s="112" t="n">
        <f aca="false">IFERROR((I21-J21)*10000*1,0)</f>
        <v>-48.3</v>
      </c>
      <c r="L21" s="2"/>
      <c r="M21" s="111" t="n">
        <v>0.985115</v>
      </c>
      <c r="N21" s="112" t="n">
        <f aca="false">IFERROR((I21-M21)*10000*1,0)</f>
        <v>-37.2099999999997</v>
      </c>
      <c r="O21" s="2"/>
      <c r="P21" s="2"/>
      <c r="Q21" s="2"/>
      <c r="R21" s="2"/>
      <c r="S21" s="2"/>
      <c r="T21" s="2"/>
    </row>
    <row r="22" customFormat="false" ht="17.25" hidden="false" customHeight="true" outlineLevel="0" collapsed="false">
      <c r="A22" s="2" t="s">
        <v>156</v>
      </c>
      <c r="B22" s="111" t="n">
        <v>1.000507</v>
      </c>
      <c r="C22" s="111" t="n">
        <v>1.009184</v>
      </c>
      <c r="D22" s="112" t="n">
        <f aca="false">IFERROR((B22-C22)*10000*1,0)</f>
        <v>-86.7700000000005</v>
      </c>
      <c r="E22" s="2"/>
      <c r="F22" s="111" t="n">
        <v>1.003622</v>
      </c>
      <c r="G22" s="112" t="n">
        <f aca="false">IFERROR((B22-F22)*10000*1,0)</f>
        <v>-31.1499999999998</v>
      </c>
      <c r="H22" s="2"/>
      <c r="I22" s="111" t="n">
        <v>1.000507</v>
      </c>
      <c r="J22" s="111" t="n">
        <v>1.009184</v>
      </c>
      <c r="K22" s="112" t="n">
        <f aca="false">IFERROR((I22-J22)*10000*1,0)</f>
        <v>-86.7700000000005</v>
      </c>
      <c r="L22" s="2"/>
      <c r="M22" s="111" t="n">
        <v>1.003622</v>
      </c>
      <c r="N22" s="112" t="n">
        <f aca="false">IFERROR((I22-M22)*10000*1,0)</f>
        <v>-31.1499999999998</v>
      </c>
      <c r="O22" s="2"/>
      <c r="P22" s="2"/>
      <c r="Q22" s="2"/>
      <c r="R22" s="2"/>
      <c r="S22" s="2"/>
      <c r="T22" s="2"/>
    </row>
    <row r="23" customFormat="false" ht="17.25" hidden="false" customHeight="true" outlineLevel="0" collapsed="false">
      <c r="A23" s="138" t="s">
        <v>157</v>
      </c>
      <c r="B23" s="139" t="n">
        <f aca="false">IFERROR(B14/B9,0)</f>
        <v>0.1856</v>
      </c>
      <c r="C23" s="139" t="n">
        <f aca="false">IFERROR(C14/C9,0)</f>
        <v>0.28</v>
      </c>
      <c r="D23" s="140" t="n">
        <f aca="false">IFERROR((B23-C23)*10000,0)</f>
        <v>-944</v>
      </c>
      <c r="E23" s="2"/>
      <c r="F23" s="139" t="n">
        <f aca="false">IFERROR(F14/F9,0)</f>
        <v>0.0844472401320962</v>
      </c>
      <c r="G23" s="140" t="n">
        <f aca="false">IFERROR((B23-F23)*10000,0)</f>
        <v>1011.52759867904</v>
      </c>
      <c r="H23" s="2"/>
      <c r="I23" s="139" t="n">
        <f aca="false">IFERROR(I14/I9,0)</f>
        <v>0.1856</v>
      </c>
      <c r="J23" s="139" t="n">
        <f aca="false">IFERROR(J14/J9,0)</f>
        <v>0.28</v>
      </c>
      <c r="K23" s="140" t="n">
        <f aca="false">IFERROR((I23-J23)*10000,0)</f>
        <v>-944</v>
      </c>
      <c r="L23" s="2"/>
      <c r="M23" s="139" t="n">
        <f aca="false">IFERROR(M14/M9,0)</f>
        <v>0.0844472401320962</v>
      </c>
      <c r="N23" s="140" t="n">
        <f aca="false">IFERROR((I23-M23)*10000,0)</f>
        <v>1011.52759867904</v>
      </c>
      <c r="O23" s="2"/>
      <c r="P23" s="2"/>
      <c r="Q23" s="2"/>
      <c r="R23" s="2"/>
      <c r="S23" s="2"/>
      <c r="T23" s="2"/>
    </row>
    <row r="24" customFormat="false" ht="7.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2" hidden="false" customHeight="true" outlineLevel="0" collapsed="false">
      <c r="A25" s="13" t="s">
        <v>138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3.5" hidden="false" customHeight="true" outlineLevel="0" collapsed="false">
      <c r="A26" s="126" t="s">
        <v>158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3.5" hidden="false" customHeight="true" outlineLevel="0" collapsed="false">
      <c r="A27" s="126" t="s">
        <v>159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3.5" hidden="false" customHeight="true" outlineLevel="0" collapsed="false">
      <c r="A28" s="126" t="s">
        <v>160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customFormat="false" ht="13.5" hidden="false" customHeight="true" outlineLevel="0" collapsed="false">
      <c r="A29" s="126" t="s">
        <v>161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customFormat="false" ht="13.5" hidden="false" customHeight="true" outlineLevel="0" collapsed="false">
      <c r="A30" s="126" t="s">
        <v>162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7.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9.75" hidden="false" customHeight="true" outlineLevel="0" collapsed="false">
      <c r="A32" s="141" t="s">
        <v>226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</sheetData>
  <mergeCells count="4">
    <mergeCell ref="B6:D6"/>
    <mergeCell ref="F6:G6"/>
    <mergeCell ref="I6:K6"/>
    <mergeCell ref="M6:N6"/>
  </mergeCells>
  <conditionalFormatting sqref="A8:D13 F8:G13 I8:J13">
    <cfRule type="expression" priority="2" aboveAverage="0" equalAverage="0" bottom="0" percent="0" rank="0" text="" dxfId="0">
      <formula>AND(C8=0,D8=0,E8=0,F8=0,G8=0)</formula>
    </cfRule>
  </conditionalFormatting>
  <conditionalFormatting sqref="M8:M13">
    <cfRule type="expression" priority="3" aboveAverage="0" equalAverage="0" bottom="0" percent="0" rank="0" text="" dxfId="0">
      <formula>AND(O8=0,P8=0,#ref!=0,Q8=0,R8=0)</formula>
    </cfRule>
  </conditionalFormatting>
  <conditionalFormatting sqref="N8:N13">
    <cfRule type="expression" priority="4" aboveAverage="0" equalAverage="0" bottom="0" percent="0" rank="0" text="" dxfId="0">
      <formula>AND(P8=0,#ref!=0,Q8=0,R8=0,S8=0)</formula>
    </cfRule>
  </conditionalFormatting>
  <conditionalFormatting sqref="K8:K13">
    <cfRule type="expression" priority="5" aboveAverage="0" equalAverage="0" bottom="0" percent="0" rank="0" text="" dxfId="0">
      <formula>AND(M8=0,N8=0,O8=0,P8=0,#ref!=0)</formula>
    </cfRule>
  </conditionalFormatting>
  <conditionalFormatting sqref="D9:D17">
    <cfRule type="cellIs" priority="6" operator="lessThan" aboveAverage="0" equalAverage="0" bottom="0" percent="0" rank="0" text="" dxfId="1">
      <formula>0</formula>
    </cfRule>
  </conditionalFormatting>
  <conditionalFormatting sqref="D9">
    <cfRule type="cellIs" priority="7" operator="lessThan" aboveAverage="0" equalAverage="0" bottom="0" percent="0" rank="0" text="" dxfId="2">
      <formula>0</formula>
    </cfRule>
  </conditionalFormatting>
  <conditionalFormatting sqref="D14:D17">
    <cfRule type="cellIs" priority="8" operator="lessThan" aboveAverage="0" equalAverage="0" bottom="0" percent="0" rank="0" text="" dxfId="2">
      <formula>0</formula>
    </cfRule>
  </conditionalFormatting>
  <conditionalFormatting sqref="K9:K17">
    <cfRule type="cellIs" priority="9" operator="lessThan" aboveAverage="0" equalAverage="0" bottom="0" percent="0" rank="0" text="" dxfId="1">
      <formula>0</formula>
    </cfRule>
  </conditionalFormatting>
  <conditionalFormatting sqref="K9">
    <cfRule type="cellIs" priority="10" operator="lessThan" aboveAverage="0" equalAverage="0" bottom="0" percent="0" rank="0" text="" dxfId="2">
      <formula>0</formula>
    </cfRule>
  </conditionalFormatting>
  <conditionalFormatting sqref="K14:K17">
    <cfRule type="cellIs" priority="11" operator="lessThan" aboveAverage="0" equalAverage="0" bottom="0" percent="0" rank="0" text="" dxfId="2">
      <formula>0</formula>
    </cfRule>
  </conditionalFormatting>
  <conditionalFormatting sqref="D19">
    <cfRule type="cellIs" priority="12" operator="greaterThan" aboveAverage="0" equalAverage="0" bottom="0" percent="0" rank="0" text="" dxfId="1">
      <formula>0</formula>
    </cfRule>
  </conditionalFormatting>
  <conditionalFormatting sqref="K19">
    <cfRule type="cellIs" priority="13" operator="greaterThan" aboveAverage="0" equalAverage="0" bottom="0" percent="0" rank="0" text="" dxfId="1">
      <formula>0</formula>
    </cfRule>
  </conditionalFormatting>
  <conditionalFormatting sqref="D20:D23">
    <cfRule type="cellIs" priority="14" operator="lessThan" aboveAverage="0" equalAverage="0" bottom="0" percent="0" rank="0" text="" dxfId="1">
      <formula>0</formula>
    </cfRule>
  </conditionalFormatting>
  <conditionalFormatting sqref="K20:K23">
    <cfRule type="cellIs" priority="1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5" right="0.5" top="0.5" bottom="0.5" header="0.511811023622047" footer="0.511805555555556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&amp;L&amp;"Arial,Regular"&amp;8 &amp;K8a7e6eSetpoint• Finance  ·  Q1 2026  ·  Confidential&amp;R&amp;"Arial,Regular"&amp;8 &amp;K8a7e6eAll figures in $000s  ·  Budget = approved FY2026 plan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7E6E"/>
    <pageSetUpPr fitToPage="false"/>
  </sheetPr>
  <dimension ref="A1:Z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C7" activeCellId="0" sqref="C7"/>
    </sheetView>
  </sheetViews>
  <sheetFormatPr defaultColWidth="8.71484375" defaultRowHeight="15" zeroHeight="false" outlineLevelRow="0" outlineLevelCol="0"/>
  <cols>
    <col collapsed="false" customWidth="true" hidden="false" outlineLevel="0" max="1" min="1" style="32" width="28"/>
    <col collapsed="false" customWidth="true" hidden="false" outlineLevel="0" max="2" min="2" style="32" width="2"/>
    <col collapsed="false" customWidth="true" hidden="false" outlineLevel="0" max="26" min="3" style="32" width="8.42"/>
  </cols>
  <sheetData>
    <row r="1" customFormat="false" ht="6" hidden="false" customHeight="true" outlineLevel="0" collapsed="false"/>
    <row r="2" customFormat="false" ht="21.75" hidden="false" customHeight="true" outlineLevel="0" collapsed="false">
      <c r="A2" s="224" t="s">
        <v>229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</row>
    <row r="3" customFormat="false" ht="13.5" hidden="false" customHeight="true" outlineLevel="0" collapsed="false">
      <c r="A3" s="225" t="s">
        <v>230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225"/>
      <c r="V3" s="225"/>
      <c r="W3" s="225"/>
      <c r="X3" s="225"/>
      <c r="Y3" s="225"/>
      <c r="Z3" s="225"/>
    </row>
    <row r="4" customFormat="false" ht="7.5" hidden="false" customHeight="true" outlineLevel="0" collapsed="false"/>
    <row r="5" customFormat="false" ht="12" hidden="false" customHeight="true" outlineLevel="0" collapsed="false">
      <c r="A5" s="226"/>
      <c r="B5" s="226"/>
      <c r="C5" s="227" t="s">
        <v>231</v>
      </c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8" t="s">
        <v>232</v>
      </c>
      <c r="P5" s="228"/>
      <c r="Q5" s="228"/>
      <c r="R5" s="229" t="s">
        <v>233</v>
      </c>
      <c r="S5" s="229"/>
      <c r="T5" s="229"/>
      <c r="U5" s="229"/>
      <c r="V5" s="229"/>
      <c r="W5" s="229"/>
      <c r="X5" s="229"/>
      <c r="Y5" s="229"/>
      <c r="Z5" s="229"/>
    </row>
    <row r="6" customFormat="false" ht="15.75" hidden="false" customHeight="true" outlineLevel="0" collapsed="false">
      <c r="A6" s="230" t="s">
        <v>234</v>
      </c>
      <c r="B6" s="231"/>
      <c r="C6" s="231" t="s">
        <v>235</v>
      </c>
      <c r="D6" s="231" t="s">
        <v>236</v>
      </c>
      <c r="E6" s="231" t="s">
        <v>237</v>
      </c>
      <c r="F6" s="231" t="s">
        <v>238</v>
      </c>
      <c r="G6" s="231" t="s">
        <v>239</v>
      </c>
      <c r="H6" s="231" t="s">
        <v>240</v>
      </c>
      <c r="I6" s="231" t="s">
        <v>241</v>
      </c>
      <c r="J6" s="231" t="s">
        <v>242</v>
      </c>
      <c r="K6" s="231" t="s">
        <v>243</v>
      </c>
      <c r="L6" s="231" t="s">
        <v>244</v>
      </c>
      <c r="M6" s="231" t="s">
        <v>245</v>
      </c>
      <c r="N6" s="231" t="s">
        <v>246</v>
      </c>
      <c r="O6" s="231" t="s">
        <v>247</v>
      </c>
      <c r="P6" s="231" t="s">
        <v>248</v>
      </c>
      <c r="Q6" s="231" t="s">
        <v>249</v>
      </c>
      <c r="R6" s="231" t="s">
        <v>250</v>
      </c>
      <c r="S6" s="231" t="s">
        <v>251</v>
      </c>
      <c r="T6" s="231" t="s">
        <v>252</v>
      </c>
      <c r="U6" s="231" t="s">
        <v>253</v>
      </c>
      <c r="V6" s="231" t="s">
        <v>254</v>
      </c>
      <c r="W6" s="231" t="s">
        <v>255</v>
      </c>
      <c r="X6" s="231" t="s">
        <v>256</v>
      </c>
      <c r="Y6" s="231" t="s">
        <v>257</v>
      </c>
      <c r="Z6" s="231" t="s">
        <v>258</v>
      </c>
    </row>
    <row r="7" customFormat="false" ht="15" hidden="false" customHeight="true" outlineLevel="0" collapsed="false">
      <c r="A7" s="232" t="s">
        <v>99</v>
      </c>
      <c r="B7" s="233"/>
      <c r="C7" s="234" t="n">
        <v>1641.7</v>
      </c>
      <c r="D7" s="234" t="n">
        <v>1687.8</v>
      </c>
      <c r="E7" s="234" t="n">
        <v>1733.1</v>
      </c>
      <c r="F7" s="234" t="n">
        <v>1775.6</v>
      </c>
      <c r="G7" s="234" t="n">
        <v>1815.8</v>
      </c>
      <c r="H7" s="234" t="n">
        <v>1857</v>
      </c>
      <c r="I7" s="234" t="n">
        <v>1897.1</v>
      </c>
      <c r="J7" s="234" t="n">
        <v>1938.7</v>
      </c>
      <c r="K7" s="234" t="n">
        <v>1978.8</v>
      </c>
      <c r="L7" s="234" t="n">
        <v>2020</v>
      </c>
      <c r="M7" s="234" t="n">
        <v>2060.2</v>
      </c>
      <c r="N7" s="235" t="n">
        <v>2100.3</v>
      </c>
      <c r="O7" s="234" t="n">
        <v>2185.4</v>
      </c>
      <c r="P7" s="234" t="n">
        <v>2315.8</v>
      </c>
      <c r="Q7" s="235" t="n">
        <v>2445.6</v>
      </c>
      <c r="R7" s="234" t="n">
        <v>2609.64</v>
      </c>
      <c r="S7" s="234" t="n">
        <v>2823.12</v>
      </c>
      <c r="T7" s="234" t="n">
        <v>3037.04</v>
      </c>
      <c r="U7" s="234" t="n">
        <v>3251.38</v>
      </c>
      <c r="V7" s="234" t="n">
        <v>3466.15</v>
      </c>
      <c r="W7" s="234" t="n">
        <v>3681.35</v>
      </c>
      <c r="X7" s="234" t="n">
        <v>3896.98</v>
      </c>
      <c r="Y7" s="234" t="n">
        <v>4113.04</v>
      </c>
      <c r="Z7" s="234" t="n">
        <v>4329.53</v>
      </c>
    </row>
    <row r="8" customFormat="false" ht="4.5" hidden="false" customHeight="true" outlineLevel="0" collapsed="false"/>
    <row r="9" customFormat="false" ht="15" hidden="false" customHeight="true" outlineLevel="0" collapsed="false">
      <c r="A9" s="236" t="s">
        <v>259</v>
      </c>
      <c r="B9" s="179"/>
      <c r="C9" s="237" t="n">
        <v>872.5</v>
      </c>
      <c r="D9" s="237" t="n">
        <v>920</v>
      </c>
      <c r="E9" s="237" t="n">
        <v>929.6</v>
      </c>
      <c r="F9" s="237" t="n">
        <v>929.6</v>
      </c>
      <c r="G9" s="237" t="n">
        <v>929.6</v>
      </c>
      <c r="H9" s="237" t="n">
        <v>973.3</v>
      </c>
      <c r="I9" s="237" t="n">
        <v>973.3</v>
      </c>
      <c r="J9" s="237" t="n">
        <v>1031.8</v>
      </c>
      <c r="K9" s="237" t="n">
        <v>1031.8</v>
      </c>
      <c r="L9" s="237" t="n">
        <v>1075.6</v>
      </c>
      <c r="M9" s="237" t="n">
        <v>1075.6</v>
      </c>
      <c r="N9" s="238" t="n">
        <v>1075.6</v>
      </c>
      <c r="O9" s="237" t="n">
        <v>1090.2</v>
      </c>
      <c r="P9" s="237" t="n">
        <v>1123.1</v>
      </c>
      <c r="Q9" s="238" t="n">
        <v>1137.7</v>
      </c>
      <c r="R9" s="237" t="n">
        <v>1577</v>
      </c>
      <c r="S9" s="237" t="n">
        <v>1718.39</v>
      </c>
      <c r="T9" s="237" t="n">
        <v>1797.32</v>
      </c>
      <c r="U9" s="237" t="n">
        <v>1833.52</v>
      </c>
      <c r="V9" s="237" t="n">
        <v>1974.21</v>
      </c>
      <c r="W9" s="237" t="n">
        <v>2032.54</v>
      </c>
      <c r="X9" s="237" t="n">
        <v>2079.52</v>
      </c>
      <c r="Y9" s="237" t="n">
        <v>2150.31</v>
      </c>
      <c r="Z9" s="237" t="n">
        <v>2188.23</v>
      </c>
    </row>
    <row r="10" customFormat="false" ht="15" hidden="false" customHeight="true" outlineLevel="0" collapsed="false">
      <c r="A10" s="236" t="s">
        <v>260</v>
      </c>
      <c r="B10" s="179"/>
      <c r="C10" s="237" t="n">
        <v>82.7</v>
      </c>
      <c r="D10" s="237" t="n">
        <v>84.4</v>
      </c>
      <c r="E10" s="237" t="n">
        <v>85</v>
      </c>
      <c r="F10" s="237" t="n">
        <v>80.1</v>
      </c>
      <c r="G10" s="237" t="n">
        <v>80.3</v>
      </c>
      <c r="H10" s="237" t="n">
        <v>81.9</v>
      </c>
      <c r="I10" s="237" t="n">
        <v>82.2</v>
      </c>
      <c r="J10" s="237" t="n">
        <v>84.2</v>
      </c>
      <c r="K10" s="237" t="n">
        <v>84.5</v>
      </c>
      <c r="L10" s="237" t="n">
        <v>86</v>
      </c>
      <c r="M10" s="237" t="n">
        <v>86.3</v>
      </c>
      <c r="N10" s="238" t="n">
        <v>86.6</v>
      </c>
      <c r="O10" s="237" t="n">
        <v>184.2</v>
      </c>
      <c r="P10" s="237" t="n">
        <v>186.8</v>
      </c>
      <c r="Q10" s="238" t="n">
        <v>189</v>
      </c>
      <c r="R10" s="237" t="n">
        <v>258.46</v>
      </c>
      <c r="S10" s="237" t="n">
        <v>285.65</v>
      </c>
      <c r="T10" s="237" t="n">
        <v>300.72</v>
      </c>
      <c r="U10" s="237" t="n">
        <v>304.5</v>
      </c>
      <c r="V10" s="237" t="n">
        <v>332.4</v>
      </c>
      <c r="W10" s="237" t="n">
        <v>348.77</v>
      </c>
      <c r="X10" s="237" t="n">
        <v>357.75</v>
      </c>
      <c r="Y10" s="237" t="n">
        <v>363.53</v>
      </c>
      <c r="Z10" s="237" t="n">
        <v>367.47</v>
      </c>
    </row>
    <row r="11" customFormat="false" ht="15" hidden="false" customHeight="true" outlineLevel="0" collapsed="false">
      <c r="A11" s="236" t="s">
        <v>261</v>
      </c>
      <c r="B11" s="179"/>
      <c r="C11" s="237" t="n">
        <v>305.7</v>
      </c>
      <c r="D11" s="237" t="n">
        <v>321.4</v>
      </c>
      <c r="E11" s="237" t="n">
        <v>324.7</v>
      </c>
      <c r="F11" s="237" t="n">
        <v>323.1</v>
      </c>
      <c r="G11" s="237" t="n">
        <v>323.2</v>
      </c>
      <c r="H11" s="237" t="n">
        <v>337.7</v>
      </c>
      <c r="I11" s="237" t="n">
        <v>337.8</v>
      </c>
      <c r="J11" s="237" t="n">
        <v>357.1</v>
      </c>
      <c r="K11" s="237" t="n">
        <v>357.2</v>
      </c>
      <c r="L11" s="237" t="n">
        <v>371.7</v>
      </c>
      <c r="M11" s="237" t="n">
        <v>371.8</v>
      </c>
      <c r="N11" s="238" t="n">
        <v>371.9</v>
      </c>
      <c r="O11" s="237" t="n">
        <v>407.8</v>
      </c>
      <c r="P11" s="237" t="n">
        <v>419.2</v>
      </c>
      <c r="Q11" s="238" t="n">
        <v>424.6</v>
      </c>
      <c r="R11" s="237" t="n">
        <v>662.34</v>
      </c>
      <c r="S11" s="237" t="n">
        <v>721.73</v>
      </c>
      <c r="T11" s="237" t="n">
        <v>754.87</v>
      </c>
      <c r="U11" s="237" t="n">
        <v>770.08</v>
      </c>
      <c r="V11" s="237" t="n">
        <v>829.17</v>
      </c>
      <c r="W11" s="237" t="n">
        <v>853.67</v>
      </c>
      <c r="X11" s="237" t="n">
        <v>873.4</v>
      </c>
      <c r="Y11" s="237" t="n">
        <v>903.13</v>
      </c>
      <c r="Z11" s="237" t="n">
        <v>919.06</v>
      </c>
    </row>
    <row r="12" customFormat="false" ht="15" hidden="false" customHeight="true" outlineLevel="0" collapsed="false">
      <c r="A12" s="232" t="s">
        <v>262</v>
      </c>
      <c r="B12" s="233"/>
      <c r="C12" s="234" t="n">
        <f aca="false">SUM(C9:C11)</f>
        <v>1260.9</v>
      </c>
      <c r="D12" s="234" t="n">
        <f aca="false">SUM(D9:D11)</f>
        <v>1325.8</v>
      </c>
      <c r="E12" s="234" t="n">
        <f aca="false">SUM(E9:E11)</f>
        <v>1339.3</v>
      </c>
      <c r="F12" s="234" t="n">
        <f aca="false">SUM(F9:F11)</f>
        <v>1332.8</v>
      </c>
      <c r="G12" s="234" t="n">
        <f aca="false">SUM(G9:G11)</f>
        <v>1333.1</v>
      </c>
      <c r="H12" s="234" t="n">
        <f aca="false">SUM(H9:H11)</f>
        <v>1392.9</v>
      </c>
      <c r="I12" s="234" t="n">
        <f aca="false">SUM(I9:I11)</f>
        <v>1393.3</v>
      </c>
      <c r="J12" s="234" t="n">
        <f aca="false">SUM(J9:J11)</f>
        <v>1473.1</v>
      </c>
      <c r="K12" s="234" t="n">
        <f aca="false">SUM(K9:K11)</f>
        <v>1473.5</v>
      </c>
      <c r="L12" s="234" t="n">
        <f aca="false">SUM(L9:L11)</f>
        <v>1533.3</v>
      </c>
      <c r="M12" s="234" t="n">
        <f aca="false">SUM(M9:M11)</f>
        <v>1533.7</v>
      </c>
      <c r="N12" s="235" t="n">
        <f aca="false">SUM(N9:N11)</f>
        <v>1534.1</v>
      </c>
      <c r="O12" s="234" t="n">
        <f aca="false">SUM(O9:O11)</f>
        <v>1682.2</v>
      </c>
      <c r="P12" s="234" t="n">
        <f aca="false">SUM(P9:P11)</f>
        <v>1729.1</v>
      </c>
      <c r="Q12" s="235" t="n">
        <f aca="false">SUM(Q9:Q11)</f>
        <v>1751.3</v>
      </c>
      <c r="R12" s="234" t="n">
        <f aca="false">SUM(R9:R11)</f>
        <v>2497.8</v>
      </c>
      <c r="S12" s="234" t="n">
        <f aca="false">SUM(S9:S11)</f>
        <v>2725.77</v>
      </c>
      <c r="T12" s="234" t="n">
        <f aca="false">SUM(T9:T11)</f>
        <v>2852.91</v>
      </c>
      <c r="U12" s="234" t="n">
        <f aca="false">SUM(U9:U11)</f>
        <v>2908.1</v>
      </c>
      <c r="V12" s="234" t="n">
        <f aca="false">SUM(V9:V11)</f>
        <v>3135.78</v>
      </c>
      <c r="W12" s="234" t="n">
        <f aca="false">SUM(W9:W11)</f>
        <v>3234.98</v>
      </c>
      <c r="X12" s="234" t="n">
        <f aca="false">SUM(X9:X11)</f>
        <v>3310.67</v>
      </c>
      <c r="Y12" s="234" t="n">
        <f aca="false">SUM(Y9:Y11)</f>
        <v>3416.97</v>
      </c>
      <c r="Z12" s="234" t="n">
        <f aca="false">SUM(Z9:Z11)</f>
        <v>3474.76</v>
      </c>
    </row>
    <row r="13" customFormat="false" ht="4.5" hidden="false" customHeight="true" outlineLevel="0" collapsed="false"/>
    <row r="14" customFormat="false" ht="15" hidden="false" customHeight="true" outlineLevel="0" collapsed="false">
      <c r="A14" s="236" t="s">
        <v>263</v>
      </c>
      <c r="B14" s="179"/>
      <c r="C14" s="237" t="n">
        <v>14.7</v>
      </c>
      <c r="D14" s="237" t="n">
        <v>15.1</v>
      </c>
      <c r="E14" s="237" t="n">
        <v>15.5</v>
      </c>
      <c r="F14" s="237" t="n">
        <v>15.9</v>
      </c>
      <c r="G14" s="237" t="n">
        <v>16.3</v>
      </c>
      <c r="H14" s="237" t="n">
        <v>16.6</v>
      </c>
      <c r="I14" s="237" t="n">
        <v>17</v>
      </c>
      <c r="J14" s="237" t="n">
        <v>17.4</v>
      </c>
      <c r="K14" s="237" t="n">
        <v>17.7</v>
      </c>
      <c r="L14" s="237" t="n">
        <v>18.1</v>
      </c>
      <c r="M14" s="237" t="n">
        <v>18.4</v>
      </c>
      <c r="N14" s="238" t="n">
        <v>18.8</v>
      </c>
      <c r="O14" s="237" t="n">
        <v>19.6</v>
      </c>
      <c r="P14" s="237" t="n">
        <v>20.7</v>
      </c>
      <c r="Q14" s="238" t="n">
        <v>21.9</v>
      </c>
      <c r="R14" s="237" t="n">
        <v>23.49</v>
      </c>
      <c r="S14" s="237" t="n">
        <v>25.41</v>
      </c>
      <c r="T14" s="237" t="n">
        <v>27.33</v>
      </c>
      <c r="U14" s="237" t="n">
        <v>29.26</v>
      </c>
      <c r="V14" s="237" t="n">
        <v>31.2</v>
      </c>
      <c r="W14" s="237" t="n">
        <v>33.13</v>
      </c>
      <c r="X14" s="237" t="n">
        <v>35.07</v>
      </c>
      <c r="Y14" s="237" t="n">
        <v>37.02</v>
      </c>
      <c r="Z14" s="237" t="n">
        <v>38.97</v>
      </c>
    </row>
    <row r="15" customFormat="false" ht="15" hidden="false" customHeight="true" outlineLevel="0" collapsed="false">
      <c r="A15" s="236" t="s">
        <v>264</v>
      </c>
      <c r="B15" s="179"/>
      <c r="C15" s="237" t="n">
        <v>24.5</v>
      </c>
      <c r="D15" s="237" t="n">
        <v>25.2</v>
      </c>
      <c r="E15" s="237" t="n">
        <v>25.9</v>
      </c>
      <c r="F15" s="237" t="n">
        <v>26.5</v>
      </c>
      <c r="G15" s="237" t="n">
        <v>27.1</v>
      </c>
      <c r="H15" s="237" t="n">
        <v>27.7</v>
      </c>
      <c r="I15" s="237" t="n">
        <v>28.3</v>
      </c>
      <c r="J15" s="237" t="n">
        <v>28.9</v>
      </c>
      <c r="K15" s="237" t="n">
        <v>29.5</v>
      </c>
      <c r="L15" s="237" t="n">
        <v>30.2</v>
      </c>
      <c r="M15" s="237" t="n">
        <v>30.8</v>
      </c>
      <c r="N15" s="238" t="n">
        <v>31.3</v>
      </c>
      <c r="O15" s="237" t="n">
        <v>32.6</v>
      </c>
      <c r="P15" s="237" t="n">
        <v>34.6</v>
      </c>
      <c r="Q15" s="238" t="n">
        <v>36.5</v>
      </c>
      <c r="R15" s="237" t="n">
        <v>39.14</v>
      </c>
      <c r="S15" s="237" t="n">
        <v>42.35</v>
      </c>
      <c r="T15" s="237" t="n">
        <v>45.56</v>
      </c>
      <c r="U15" s="237" t="n">
        <v>48.77</v>
      </c>
      <c r="V15" s="237" t="n">
        <v>51.99</v>
      </c>
      <c r="W15" s="237" t="n">
        <v>55.22</v>
      </c>
      <c r="X15" s="237" t="n">
        <v>58.45</v>
      </c>
      <c r="Y15" s="237" t="n">
        <v>61.7</v>
      </c>
      <c r="Z15" s="237" t="n">
        <v>64.94</v>
      </c>
    </row>
    <row r="16" customFormat="false" ht="15" hidden="false" customHeight="true" outlineLevel="0" collapsed="false">
      <c r="A16" s="236" t="s">
        <v>265</v>
      </c>
      <c r="B16" s="179"/>
      <c r="C16" s="237" t="n">
        <v>61.6</v>
      </c>
      <c r="D16" s="237" t="n">
        <v>64.8</v>
      </c>
      <c r="E16" s="237" t="n">
        <v>65.6</v>
      </c>
      <c r="F16" s="237" t="n">
        <v>65.6</v>
      </c>
      <c r="G16" s="237" t="n">
        <v>65.6</v>
      </c>
      <c r="H16" s="237" t="n">
        <v>68.8</v>
      </c>
      <c r="I16" s="237" t="n">
        <v>68.8</v>
      </c>
      <c r="J16" s="237" t="n">
        <v>72.8</v>
      </c>
      <c r="K16" s="237" t="n">
        <v>72.8</v>
      </c>
      <c r="L16" s="237" t="n">
        <v>76</v>
      </c>
      <c r="M16" s="237" t="n">
        <v>76</v>
      </c>
      <c r="N16" s="238" t="n">
        <v>76</v>
      </c>
      <c r="O16" s="237" t="n">
        <v>76.8</v>
      </c>
      <c r="P16" s="237" t="n">
        <v>79.2</v>
      </c>
      <c r="Q16" s="238" t="n">
        <v>80</v>
      </c>
      <c r="R16" s="237" t="n">
        <v>88</v>
      </c>
      <c r="S16" s="237" t="n">
        <v>96</v>
      </c>
      <c r="T16" s="237" t="n">
        <v>100.8</v>
      </c>
      <c r="U16" s="237" t="n">
        <v>103.2</v>
      </c>
      <c r="V16" s="237" t="n">
        <v>110.4</v>
      </c>
      <c r="W16" s="237" t="n">
        <v>112.8</v>
      </c>
      <c r="X16" s="237" t="n">
        <v>115.2</v>
      </c>
      <c r="Y16" s="237" t="n">
        <v>120</v>
      </c>
      <c r="Z16" s="237" t="n">
        <v>122.4</v>
      </c>
    </row>
    <row r="17" customFormat="false" ht="15" hidden="false" customHeight="true" outlineLevel="0" collapsed="false">
      <c r="A17" s="236" t="s">
        <v>266</v>
      </c>
      <c r="B17" s="179"/>
      <c r="C17" s="237" t="n">
        <v>19.2</v>
      </c>
      <c r="D17" s="237" t="n">
        <v>20.2</v>
      </c>
      <c r="E17" s="237" t="n">
        <v>20.5</v>
      </c>
      <c r="F17" s="237" t="n">
        <v>20.5</v>
      </c>
      <c r="G17" s="237" t="n">
        <v>20.5</v>
      </c>
      <c r="H17" s="237" t="n">
        <v>21.5</v>
      </c>
      <c r="I17" s="237" t="n">
        <v>21.5</v>
      </c>
      <c r="J17" s="237" t="n">
        <v>22.7</v>
      </c>
      <c r="K17" s="237" t="n">
        <v>22.7</v>
      </c>
      <c r="L17" s="237" t="n">
        <v>23.7</v>
      </c>
      <c r="M17" s="237" t="n">
        <v>23.7</v>
      </c>
      <c r="N17" s="238" t="n">
        <v>23.7</v>
      </c>
      <c r="O17" s="237" t="n">
        <v>24</v>
      </c>
      <c r="P17" s="237" t="n">
        <v>24.7</v>
      </c>
      <c r="Q17" s="238" t="n">
        <v>25</v>
      </c>
      <c r="R17" s="237" t="n">
        <v>27.5</v>
      </c>
      <c r="S17" s="237" t="n">
        <v>30</v>
      </c>
      <c r="T17" s="237" t="n">
        <v>31.5</v>
      </c>
      <c r="U17" s="237" t="n">
        <v>32.25</v>
      </c>
      <c r="V17" s="237" t="n">
        <v>34.5</v>
      </c>
      <c r="W17" s="237" t="n">
        <v>35.25</v>
      </c>
      <c r="X17" s="237" t="n">
        <v>36</v>
      </c>
      <c r="Y17" s="237" t="n">
        <v>37.5</v>
      </c>
      <c r="Z17" s="237" t="n">
        <v>38.25</v>
      </c>
    </row>
    <row r="18" customFormat="false" ht="15" hidden="false" customHeight="true" outlineLevel="0" collapsed="false">
      <c r="A18" s="236" t="s">
        <v>267</v>
      </c>
      <c r="B18" s="179"/>
      <c r="C18" s="237" t="n">
        <v>49</v>
      </c>
      <c r="D18" s="237" t="n">
        <v>50.4</v>
      </c>
      <c r="E18" s="237" t="n">
        <v>51.7</v>
      </c>
      <c r="F18" s="237" t="n">
        <v>53</v>
      </c>
      <c r="G18" s="237" t="n">
        <v>54.2</v>
      </c>
      <c r="H18" s="237" t="n">
        <v>55.4</v>
      </c>
      <c r="I18" s="237" t="n">
        <v>56.6</v>
      </c>
      <c r="J18" s="237" t="n">
        <v>57.9</v>
      </c>
      <c r="K18" s="237" t="n">
        <v>59.1</v>
      </c>
      <c r="L18" s="237" t="n">
        <v>60.3</v>
      </c>
      <c r="M18" s="237" t="n">
        <v>61.5</v>
      </c>
      <c r="N18" s="238" t="n">
        <v>62.7</v>
      </c>
      <c r="O18" s="237" t="n">
        <v>65.2</v>
      </c>
      <c r="P18" s="237" t="n">
        <v>69.1</v>
      </c>
      <c r="Q18" s="238" t="n">
        <v>73</v>
      </c>
      <c r="R18" s="237" t="n">
        <v>78.29</v>
      </c>
      <c r="S18" s="237" t="n">
        <v>84.69</v>
      </c>
      <c r="T18" s="237" t="n">
        <v>91.11</v>
      </c>
      <c r="U18" s="237" t="n">
        <v>97.54</v>
      </c>
      <c r="V18" s="237" t="n">
        <v>103.98</v>
      </c>
      <c r="W18" s="237" t="n">
        <v>110.44</v>
      </c>
      <c r="X18" s="237" t="n">
        <v>116.91</v>
      </c>
      <c r="Y18" s="237" t="n">
        <v>123.39</v>
      </c>
      <c r="Z18" s="237" t="n">
        <v>129.89</v>
      </c>
    </row>
    <row r="19" customFormat="false" ht="15" hidden="false" customHeight="true" outlineLevel="0" collapsed="false">
      <c r="A19" s="236" t="s">
        <v>268</v>
      </c>
      <c r="B19" s="179"/>
      <c r="C19" s="237" t="n">
        <v>34.8</v>
      </c>
      <c r="D19" s="237" t="n">
        <v>35.4</v>
      </c>
      <c r="E19" s="237" t="n">
        <v>26.4</v>
      </c>
      <c r="F19" s="237" t="n">
        <v>23.4</v>
      </c>
      <c r="G19" s="237" t="n">
        <v>23.4</v>
      </c>
      <c r="H19" s="237" t="n">
        <v>35.6</v>
      </c>
      <c r="I19" s="237" t="n">
        <v>23.6</v>
      </c>
      <c r="J19" s="237" t="n">
        <v>38.8</v>
      </c>
      <c r="K19" s="237" t="n">
        <v>23.8</v>
      </c>
      <c r="L19" s="237" t="n">
        <v>36</v>
      </c>
      <c r="M19" s="237" t="n">
        <v>24</v>
      </c>
      <c r="N19" s="238" t="n">
        <v>24</v>
      </c>
      <c r="O19" s="237" t="n">
        <v>27</v>
      </c>
      <c r="P19" s="237" t="n">
        <v>33.2</v>
      </c>
      <c r="Q19" s="238" t="n">
        <v>27.2</v>
      </c>
      <c r="R19" s="237" t="n">
        <v>20</v>
      </c>
      <c r="S19" s="237" t="n">
        <v>20</v>
      </c>
      <c r="T19" s="237" t="n">
        <v>20</v>
      </c>
      <c r="U19" s="237" t="n">
        <v>20</v>
      </c>
      <c r="V19" s="237" t="n">
        <v>20</v>
      </c>
      <c r="W19" s="237" t="n">
        <v>20</v>
      </c>
      <c r="X19" s="237" t="n">
        <v>20</v>
      </c>
      <c r="Y19" s="237" t="n">
        <v>20</v>
      </c>
      <c r="Z19" s="237" t="n">
        <v>20</v>
      </c>
    </row>
    <row r="20" customFormat="false" ht="15" hidden="false" customHeight="true" outlineLevel="0" collapsed="false">
      <c r="A20" s="236" t="s">
        <v>269</v>
      </c>
      <c r="B20" s="179"/>
      <c r="C20" s="237" t="n">
        <v>1.3</v>
      </c>
      <c r="D20" s="237" t="n">
        <v>1.4</v>
      </c>
      <c r="E20" s="237" t="n">
        <v>1.4</v>
      </c>
      <c r="F20" s="237" t="n">
        <v>1.4</v>
      </c>
      <c r="G20" s="237" t="n">
        <v>1.4</v>
      </c>
      <c r="H20" s="237" t="n">
        <v>1.5</v>
      </c>
      <c r="I20" s="237" t="n">
        <v>1.5</v>
      </c>
      <c r="J20" s="237" t="n">
        <v>1.5</v>
      </c>
      <c r="K20" s="237" t="n">
        <v>1.5</v>
      </c>
      <c r="L20" s="237" t="n">
        <v>1.6</v>
      </c>
      <c r="M20" s="237" t="n">
        <v>1.6</v>
      </c>
      <c r="N20" s="238" t="n">
        <v>1.6</v>
      </c>
      <c r="O20" s="237" t="n">
        <v>1.6</v>
      </c>
      <c r="P20" s="237" t="n">
        <v>1.7</v>
      </c>
      <c r="Q20" s="238" t="n">
        <v>1.7</v>
      </c>
      <c r="R20" s="237" t="n">
        <v>8</v>
      </c>
      <c r="S20" s="237" t="n">
        <v>8</v>
      </c>
      <c r="T20" s="237" t="n">
        <v>8</v>
      </c>
      <c r="U20" s="237" t="n">
        <v>8</v>
      </c>
      <c r="V20" s="237" t="n">
        <v>8</v>
      </c>
      <c r="W20" s="237" t="n">
        <v>8</v>
      </c>
      <c r="X20" s="237" t="n">
        <v>8</v>
      </c>
      <c r="Y20" s="237" t="n">
        <v>8</v>
      </c>
      <c r="Z20" s="237" t="n">
        <v>8</v>
      </c>
    </row>
    <row r="21" customFormat="false" ht="15" hidden="false" customHeight="true" outlineLevel="0" collapsed="false">
      <c r="A21" s="236" t="s">
        <v>270</v>
      </c>
      <c r="B21" s="179"/>
      <c r="C21" s="237" t="n">
        <v>95.5</v>
      </c>
      <c r="D21" s="237" t="n">
        <v>100.4</v>
      </c>
      <c r="E21" s="237" t="n">
        <v>101.5</v>
      </c>
      <c r="F21" s="237" t="n">
        <v>101</v>
      </c>
      <c r="G21" s="237" t="n">
        <v>101</v>
      </c>
      <c r="H21" s="237" t="n">
        <v>105.5</v>
      </c>
      <c r="I21" s="237" t="n">
        <v>105.6</v>
      </c>
      <c r="J21" s="237" t="n">
        <v>111.6</v>
      </c>
      <c r="K21" s="237" t="n">
        <v>111.6</v>
      </c>
      <c r="L21" s="237" t="n">
        <v>116.2</v>
      </c>
      <c r="M21" s="237" t="n">
        <v>116.2</v>
      </c>
      <c r="N21" s="238" t="n">
        <v>116.2</v>
      </c>
      <c r="O21" s="237" t="n">
        <v>127.4</v>
      </c>
      <c r="P21" s="237" t="n">
        <v>131</v>
      </c>
      <c r="Q21" s="238" t="n">
        <v>132.7</v>
      </c>
      <c r="R21" s="237" t="n">
        <v>157.7</v>
      </c>
      <c r="S21" s="237" t="n">
        <v>171.84</v>
      </c>
      <c r="T21" s="237" t="n">
        <v>179.73</v>
      </c>
      <c r="U21" s="237" t="n">
        <v>183.35</v>
      </c>
      <c r="V21" s="237" t="n">
        <v>197.42</v>
      </c>
      <c r="W21" s="237" t="n">
        <v>203.25</v>
      </c>
      <c r="X21" s="237" t="n">
        <v>207.95</v>
      </c>
      <c r="Y21" s="237" t="n">
        <v>215.03</v>
      </c>
      <c r="Z21" s="237" t="n">
        <v>218.82</v>
      </c>
    </row>
    <row r="22" customFormat="false" ht="15" hidden="false" customHeight="true" outlineLevel="0" collapsed="false">
      <c r="A22" s="236" t="s">
        <v>271</v>
      </c>
      <c r="B22" s="179"/>
      <c r="C22" s="237" t="n">
        <v>15</v>
      </c>
      <c r="D22" s="237" t="n">
        <v>15</v>
      </c>
      <c r="E22" s="237" t="n">
        <v>15</v>
      </c>
      <c r="F22" s="237" t="n">
        <v>15</v>
      </c>
      <c r="G22" s="237" t="n">
        <v>15</v>
      </c>
      <c r="H22" s="237" t="n">
        <v>15</v>
      </c>
      <c r="I22" s="237" t="n">
        <v>15</v>
      </c>
      <c r="J22" s="237" t="n">
        <v>15</v>
      </c>
      <c r="K22" s="237" t="n">
        <v>15</v>
      </c>
      <c r="L22" s="237" t="n">
        <v>15</v>
      </c>
      <c r="M22" s="237" t="n">
        <v>15</v>
      </c>
      <c r="N22" s="238" t="n">
        <v>15</v>
      </c>
      <c r="O22" s="237" t="n">
        <v>15</v>
      </c>
      <c r="P22" s="237" t="n">
        <v>15</v>
      </c>
      <c r="Q22" s="238" t="n">
        <v>15</v>
      </c>
      <c r="R22" s="237" t="n">
        <v>5</v>
      </c>
      <c r="S22" s="237" t="n">
        <v>5</v>
      </c>
      <c r="T22" s="237" t="n">
        <v>5</v>
      </c>
      <c r="U22" s="237" t="n">
        <v>5</v>
      </c>
      <c r="V22" s="237" t="n">
        <v>5</v>
      </c>
      <c r="W22" s="237" t="n">
        <v>5</v>
      </c>
      <c r="X22" s="237" t="n">
        <v>5</v>
      </c>
      <c r="Y22" s="237" t="n">
        <v>5</v>
      </c>
      <c r="Z22" s="237" t="n">
        <v>5</v>
      </c>
    </row>
    <row r="23" customFormat="false" ht="15" hidden="false" customHeight="true" outlineLevel="0" collapsed="false">
      <c r="A23" s="107" t="s">
        <v>272</v>
      </c>
      <c r="B23" s="239"/>
      <c r="C23" s="239" t="n">
        <f aca="false">C12+SUM(C14:C20)</f>
        <v>1466</v>
      </c>
      <c r="D23" s="239" t="n">
        <f aca="false">D12+SUM(D14:D20)</f>
        <v>1538.3</v>
      </c>
      <c r="E23" s="239" t="n">
        <f aca="false">E12+SUM(E14:E20)</f>
        <v>1546.3</v>
      </c>
      <c r="F23" s="239" t="n">
        <f aca="false">F12+SUM(F14:F20)</f>
        <v>1539.1</v>
      </c>
      <c r="G23" s="239" t="n">
        <f aca="false">G12+SUM(G14:G20)</f>
        <v>1541.6</v>
      </c>
      <c r="H23" s="239" t="n">
        <f aca="false">H12+SUM(H14:H20)</f>
        <v>1620</v>
      </c>
      <c r="I23" s="239" t="n">
        <f aca="false">I12+SUM(I14:I20)</f>
        <v>1610.6</v>
      </c>
      <c r="J23" s="239" t="n">
        <f aca="false">J12+SUM(J14:J20)</f>
        <v>1713.1</v>
      </c>
      <c r="K23" s="239" t="n">
        <f aca="false">K12+SUM(K14:K20)</f>
        <v>1700.6</v>
      </c>
      <c r="L23" s="239" t="n">
        <f aca="false">L12+SUM(L14:L20)</f>
        <v>1779.2</v>
      </c>
      <c r="M23" s="239" t="n">
        <f aca="false">M12+SUM(M14:M20)</f>
        <v>1769.7</v>
      </c>
      <c r="N23" s="239" t="n">
        <f aca="false">N12+SUM(N14:N20)</f>
        <v>1772.2</v>
      </c>
      <c r="O23" s="239" t="n">
        <f aca="false">O12+SUM(O14:O20)</f>
        <v>1929</v>
      </c>
      <c r="P23" s="239" t="n">
        <f aca="false">P12+SUM(P14:P20)</f>
        <v>1992.3</v>
      </c>
      <c r="Q23" s="239" t="n">
        <f aca="false">Q12+SUM(Q14:Q20)</f>
        <v>2016.6</v>
      </c>
      <c r="R23" s="239" t="n">
        <f aca="false">R12+SUM(R14:R20)</f>
        <v>2782.22</v>
      </c>
      <c r="S23" s="239" t="n">
        <f aca="false">S12+SUM(S14:S20)</f>
        <v>3032.22</v>
      </c>
      <c r="T23" s="239" t="n">
        <f aca="false">T12+SUM(T14:T20)</f>
        <v>3177.21</v>
      </c>
      <c r="U23" s="239" t="n">
        <f aca="false">U12+SUM(U14:U20)</f>
        <v>3247.12</v>
      </c>
      <c r="V23" s="239" t="n">
        <f aca="false">V12+SUM(V14:V20)</f>
        <v>3495.85</v>
      </c>
      <c r="W23" s="239" t="n">
        <f aca="false">W12+SUM(W14:W20)</f>
        <v>3609.82</v>
      </c>
      <c r="X23" s="239" t="n">
        <f aca="false">X12+SUM(X14:X20)</f>
        <v>3700.3</v>
      </c>
      <c r="Y23" s="239" t="n">
        <f aca="false">Y12+SUM(Y14:Y20)</f>
        <v>3824.58</v>
      </c>
      <c r="Z23" s="239" t="n">
        <f aca="false">Z12+SUM(Z14:Z20)</f>
        <v>3897.21</v>
      </c>
    </row>
    <row r="24" customFormat="false" ht="15" hidden="false" customHeight="true" outlineLevel="0" collapsed="false"/>
    <row r="25" customFormat="false" ht="15" hidden="false" customHeight="true" outlineLevel="0" collapsed="false">
      <c r="A25" s="107" t="s">
        <v>130</v>
      </c>
      <c r="B25" s="239"/>
      <c r="C25" s="239" t="n">
        <f aca="false">C7-C23</f>
        <v>175.7</v>
      </c>
      <c r="D25" s="239" t="n">
        <f aca="false">D7-D23</f>
        <v>149.5</v>
      </c>
      <c r="E25" s="239" t="n">
        <f aca="false">E7-E23</f>
        <v>186.8</v>
      </c>
      <c r="F25" s="239" t="n">
        <f aca="false">F7-F23</f>
        <v>236.5</v>
      </c>
      <c r="G25" s="239" t="n">
        <f aca="false">G7-G23</f>
        <v>274.2</v>
      </c>
      <c r="H25" s="239" t="n">
        <f aca="false">H7-H23</f>
        <v>237</v>
      </c>
      <c r="I25" s="239" t="n">
        <f aca="false">I7-I23</f>
        <v>286.5</v>
      </c>
      <c r="J25" s="239" t="n">
        <f aca="false">J7-J23</f>
        <v>225.6</v>
      </c>
      <c r="K25" s="239" t="n">
        <f aca="false">K7-K23</f>
        <v>278.2</v>
      </c>
      <c r="L25" s="239" t="n">
        <f aca="false">L7-L23</f>
        <v>240.8</v>
      </c>
      <c r="M25" s="239" t="n">
        <f aca="false">M7-M23</f>
        <v>290.5</v>
      </c>
      <c r="N25" s="239" t="n">
        <f aca="false">N7-N23</f>
        <v>328.1</v>
      </c>
      <c r="O25" s="239" t="n">
        <f aca="false">O7-O23</f>
        <v>256.4</v>
      </c>
      <c r="P25" s="239" t="n">
        <f aca="false">P7-P23</f>
        <v>323.5</v>
      </c>
      <c r="Q25" s="239" t="n">
        <f aca="false">Q7-Q23</f>
        <v>429</v>
      </c>
      <c r="R25" s="239" t="n">
        <f aca="false">R7-R23</f>
        <v>-172.58</v>
      </c>
      <c r="S25" s="239" t="n">
        <f aca="false">S7-S23</f>
        <v>-209.1</v>
      </c>
      <c r="T25" s="239" t="n">
        <f aca="false">T7-T23</f>
        <v>-140.17</v>
      </c>
      <c r="U25" s="239" t="n">
        <f aca="false">U7-U23</f>
        <v>4.26000000000022</v>
      </c>
      <c r="V25" s="239" t="n">
        <f aca="false">V7-V23</f>
        <v>-29.6999999999998</v>
      </c>
      <c r="W25" s="239" t="n">
        <f aca="false">W7-W23</f>
        <v>71.5299999999998</v>
      </c>
      <c r="X25" s="239" t="n">
        <f aca="false">X7-X23</f>
        <v>196.68</v>
      </c>
      <c r="Y25" s="239" t="n">
        <f aca="false">Y7-Y23</f>
        <v>288.46</v>
      </c>
      <c r="Z25" s="239" t="n">
        <f aca="false">Z7-Z23</f>
        <v>432.32</v>
      </c>
    </row>
    <row r="26" customFormat="false" ht="15" hidden="false" customHeight="true" outlineLevel="0" collapsed="false">
      <c r="A26" s="236" t="s">
        <v>131</v>
      </c>
      <c r="B26" s="240"/>
      <c r="C26" s="241" t="n">
        <f aca="false">C25/C7</f>
        <v>0.107023207650606</v>
      </c>
      <c r="D26" s="241" t="n">
        <f aca="false">D25/D7</f>
        <v>0.0885768455978197</v>
      </c>
      <c r="E26" s="241" t="n">
        <f aca="false">E25/E7</f>
        <v>0.107783740118862</v>
      </c>
      <c r="F26" s="241" t="n">
        <f aca="false">F25/F7</f>
        <v>0.133194413156116</v>
      </c>
      <c r="G26" s="241" t="n">
        <f aca="false">G25/G7</f>
        <v>0.15100782024452</v>
      </c>
      <c r="H26" s="241" t="n">
        <f aca="false">H25/H7</f>
        <v>0.127625201938611</v>
      </c>
      <c r="I26" s="241" t="n">
        <f aca="false">I25/I7</f>
        <v>0.151019977860946</v>
      </c>
      <c r="J26" s="241" t="n">
        <f aca="false">J25/J7</f>
        <v>0.116366637437458</v>
      </c>
      <c r="K26" s="241" t="n">
        <f aca="false">K25/K7</f>
        <v>0.140590256721245</v>
      </c>
      <c r="L26" s="241" t="n">
        <f aca="false">L25/L7</f>
        <v>0.119207920792079</v>
      </c>
      <c r="M26" s="241" t="n">
        <f aca="false">M25/M7</f>
        <v>0.141005727599262</v>
      </c>
      <c r="N26" s="242" t="n">
        <f aca="false">N25/N7</f>
        <v>0.156215778698281</v>
      </c>
      <c r="O26" s="241" t="n">
        <f aca="false">O25/O7</f>
        <v>0.117324059668711</v>
      </c>
      <c r="P26" s="241" t="n">
        <f aca="false">P25/P7</f>
        <v>0.13969254685206</v>
      </c>
      <c r="Q26" s="242" t="n">
        <f aca="false">Q25/Q7</f>
        <v>0.175417075564279</v>
      </c>
      <c r="R26" s="241" t="n">
        <f aca="false">R25/R7</f>
        <v>-0.0661317269814995</v>
      </c>
      <c r="S26" s="241" t="n">
        <f aca="false">S25/S7</f>
        <v>-0.0740669897135084</v>
      </c>
      <c r="T26" s="241" t="n">
        <f aca="false">T25/T7</f>
        <v>-0.0461534915575692</v>
      </c>
      <c r="U26" s="241" t="n">
        <f aca="false">U25/U7</f>
        <v>0.00131021289421729</v>
      </c>
      <c r="V26" s="241" t="n">
        <f aca="false">V25/V7</f>
        <v>-0.008568584740995</v>
      </c>
      <c r="W26" s="241" t="n">
        <f aca="false">W25/W7</f>
        <v>0.0194303720102679</v>
      </c>
      <c r="X26" s="241" t="n">
        <f aca="false">X25/X7</f>
        <v>0.0504698510128355</v>
      </c>
      <c r="Y26" s="241" t="n">
        <f aca="false">Y25/Y7</f>
        <v>0.0701330402816408</v>
      </c>
      <c r="Z26" s="241" t="n">
        <f aca="false">Z25/Z7</f>
        <v>0.099853794753703</v>
      </c>
    </row>
    <row r="28" customFormat="false" ht="15" hidden="false" customHeight="true" outlineLevel="0" collapsed="false">
      <c r="A28" s="243"/>
      <c r="B28" s="244"/>
      <c r="C28" s="244"/>
      <c r="D28" s="244"/>
      <c r="E28" s="244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</row>
    <row r="29" customFormat="false" ht="15" hidden="false" customHeight="true" outlineLevel="0" collapsed="false">
      <c r="A29" s="118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</row>
    <row r="30" customFormat="false" ht="15" hidden="false" customHeight="true" outlineLevel="0" collapsed="false">
      <c r="A30" s="243"/>
      <c r="B30" s="244"/>
      <c r="C30" s="244"/>
      <c r="D30" s="244"/>
      <c r="E30" s="244"/>
      <c r="F30" s="244"/>
      <c r="G30" s="244"/>
      <c r="H30" s="244"/>
      <c r="I30" s="244"/>
      <c r="J30" s="244"/>
      <c r="K30" s="244"/>
      <c r="L30" s="244"/>
      <c r="M30" s="244"/>
      <c r="N30" s="244"/>
      <c r="O30" s="244"/>
      <c r="P30" s="244"/>
      <c r="Q30" s="244"/>
      <c r="R30" s="244"/>
      <c r="S30" s="244"/>
      <c r="T30" s="244"/>
      <c r="U30" s="244"/>
      <c r="V30" s="244"/>
      <c r="W30" s="244"/>
      <c r="X30" s="244"/>
      <c r="Y30" s="244"/>
      <c r="Z30" s="244"/>
    </row>
    <row r="31" customFormat="false" ht="15" hidden="false" customHeight="true" outlineLevel="0" collapsed="false">
      <c r="A31" s="118"/>
      <c r="B31" s="245"/>
      <c r="C31" s="245"/>
      <c r="D31" s="245"/>
      <c r="E31" s="245"/>
      <c r="F31" s="245"/>
      <c r="G31" s="245"/>
      <c r="H31" s="245"/>
      <c r="I31" s="245"/>
      <c r="J31" s="245"/>
      <c r="K31" s="245"/>
      <c r="L31" s="245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</row>
  </sheetData>
  <mergeCells count="5">
    <mergeCell ref="A2:Z2"/>
    <mergeCell ref="A3:Z3"/>
    <mergeCell ref="C5:N5"/>
    <mergeCell ref="O5:Q5"/>
    <mergeCell ref="R5:Z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7E6E"/>
    <pageSetUpPr fitToPage="false"/>
  </sheetPr>
  <dimension ref="A1:Z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C7" activeCellId="0" sqref="C7"/>
    </sheetView>
  </sheetViews>
  <sheetFormatPr defaultColWidth="8.71484375" defaultRowHeight="15" zeroHeight="false" outlineLevelRow="0" outlineLevelCol="0"/>
  <cols>
    <col collapsed="false" customWidth="true" hidden="false" outlineLevel="0" max="1" min="1" style="32" width="28"/>
    <col collapsed="false" customWidth="true" hidden="false" outlineLevel="0" max="2" min="2" style="32" width="2"/>
    <col collapsed="false" customWidth="true" hidden="false" outlineLevel="0" max="17" min="3" style="32" width="9"/>
  </cols>
  <sheetData>
    <row r="1" customFormat="false" ht="6" hidden="false" customHeight="true" outlineLevel="0" collapsed="false"/>
    <row r="2" customFormat="false" ht="21.75" hidden="false" customHeight="true" outlineLevel="0" collapsed="false">
      <c r="A2" s="224" t="s">
        <v>273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</row>
    <row r="3" customFormat="false" ht="13.5" hidden="false" customHeight="true" outlineLevel="0" collapsed="false">
      <c r="A3" s="225" t="s">
        <v>274</v>
      </c>
      <c r="B3" s="225"/>
      <c r="C3" s="225"/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</row>
    <row r="4" customFormat="false" ht="7.5" hidden="false" customHeight="true" outlineLevel="0" collapsed="false"/>
    <row r="5" customFormat="false" ht="12" hidden="false" customHeight="true" outlineLevel="0" collapsed="false">
      <c r="A5" s="226"/>
      <c r="B5" s="226"/>
      <c r="C5" s="227" t="s">
        <v>275</v>
      </c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8" t="s">
        <v>276</v>
      </c>
      <c r="P5" s="228"/>
      <c r="Q5" s="228"/>
    </row>
    <row r="6" customFormat="false" ht="15.75" hidden="false" customHeight="true" outlineLevel="0" collapsed="false">
      <c r="A6" s="230" t="s">
        <v>234</v>
      </c>
      <c r="B6" s="231"/>
      <c r="C6" s="231" t="s">
        <v>235</v>
      </c>
      <c r="D6" s="231" t="s">
        <v>236</v>
      </c>
      <c r="E6" s="231" t="s">
        <v>237</v>
      </c>
      <c r="F6" s="231" t="s">
        <v>238</v>
      </c>
      <c r="G6" s="231" t="s">
        <v>239</v>
      </c>
      <c r="H6" s="231" t="s">
        <v>240</v>
      </c>
      <c r="I6" s="231" t="s">
        <v>241</v>
      </c>
      <c r="J6" s="231" t="s">
        <v>242</v>
      </c>
      <c r="K6" s="231" t="s">
        <v>243</v>
      </c>
      <c r="L6" s="231" t="s">
        <v>244</v>
      </c>
      <c r="M6" s="231" t="s">
        <v>245</v>
      </c>
      <c r="N6" s="231" t="s">
        <v>246</v>
      </c>
      <c r="O6" s="231" t="s">
        <v>247</v>
      </c>
      <c r="P6" s="231" t="s">
        <v>248</v>
      </c>
      <c r="Q6" s="231" t="s">
        <v>249</v>
      </c>
      <c r="R6" s="231" t="s">
        <v>250</v>
      </c>
      <c r="S6" s="231" t="s">
        <v>251</v>
      </c>
      <c r="T6" s="231" t="s">
        <v>252</v>
      </c>
      <c r="U6" s="231" t="s">
        <v>253</v>
      </c>
      <c r="V6" s="231" t="s">
        <v>254</v>
      </c>
      <c r="W6" s="231" t="s">
        <v>255</v>
      </c>
      <c r="X6" s="231" t="s">
        <v>256</v>
      </c>
      <c r="Y6" s="231" t="s">
        <v>257</v>
      </c>
      <c r="Z6" s="231" t="s">
        <v>258</v>
      </c>
    </row>
    <row r="7" customFormat="false" ht="15" hidden="false" customHeight="true" outlineLevel="0" collapsed="false">
      <c r="A7" s="232" t="s">
        <v>99</v>
      </c>
      <c r="B7" s="233"/>
      <c r="C7" s="234" t="n">
        <v>1641.7</v>
      </c>
      <c r="D7" s="234" t="n">
        <v>1687.8</v>
      </c>
      <c r="E7" s="234" t="n">
        <v>1733.1</v>
      </c>
      <c r="F7" s="234" t="n">
        <v>1775.6</v>
      </c>
      <c r="G7" s="234" t="n">
        <v>1815.8</v>
      </c>
      <c r="H7" s="234" t="n">
        <v>1857</v>
      </c>
      <c r="I7" s="234" t="n">
        <v>1897.1</v>
      </c>
      <c r="J7" s="234" t="n">
        <v>1938.7</v>
      </c>
      <c r="K7" s="234" t="n">
        <v>1978.8</v>
      </c>
      <c r="L7" s="234" t="n">
        <v>2020</v>
      </c>
      <c r="M7" s="234" t="n">
        <v>2060.2</v>
      </c>
      <c r="N7" s="235" t="n">
        <v>2100.3</v>
      </c>
      <c r="O7" s="234" t="n">
        <v>2185.4</v>
      </c>
      <c r="P7" s="234" t="n">
        <v>2315.8</v>
      </c>
      <c r="Q7" s="234" t="n">
        <v>2445.6</v>
      </c>
      <c r="R7" s="234" t="n">
        <v>2609.6</v>
      </c>
      <c r="S7" s="234" t="n">
        <v>2823.1</v>
      </c>
      <c r="T7" s="234" t="n">
        <v>3037</v>
      </c>
      <c r="U7" s="234" t="n">
        <v>3251.4</v>
      </c>
      <c r="V7" s="234" t="n">
        <v>3466.1</v>
      </c>
      <c r="W7" s="234" t="n">
        <v>3681.3</v>
      </c>
      <c r="X7" s="234" t="n">
        <v>3897</v>
      </c>
      <c r="Y7" s="234" t="n">
        <v>4113</v>
      </c>
      <c r="Z7" s="234" t="n">
        <v>4329.5</v>
      </c>
    </row>
    <row r="8" customFormat="false" ht="6" hidden="false" customHeight="true" outlineLevel="0" collapsed="false"/>
    <row r="9" customFormat="false" ht="15" hidden="false" customHeight="true" outlineLevel="0" collapsed="false">
      <c r="A9" s="236" t="s">
        <v>123</v>
      </c>
      <c r="B9" s="179"/>
      <c r="C9" s="237" t="n">
        <v>333.1</v>
      </c>
      <c r="D9" s="237" t="n">
        <v>349.5</v>
      </c>
      <c r="E9" s="237" t="n">
        <v>361.6</v>
      </c>
      <c r="F9" s="237" t="n">
        <v>371.8</v>
      </c>
      <c r="G9" s="237" t="n">
        <v>377.2</v>
      </c>
      <c r="H9" s="237" t="n">
        <v>385.1</v>
      </c>
      <c r="I9" s="237" t="n">
        <v>394.5</v>
      </c>
      <c r="J9" s="237" t="n">
        <v>443</v>
      </c>
      <c r="K9" s="237" t="n">
        <v>450.8</v>
      </c>
      <c r="L9" s="237" t="n">
        <v>483.6</v>
      </c>
      <c r="M9" s="237" t="n">
        <v>502.4</v>
      </c>
      <c r="N9" s="238" t="n">
        <v>499.6</v>
      </c>
      <c r="O9" s="237" t="n">
        <v>378.5</v>
      </c>
      <c r="P9" s="237" t="n">
        <v>412.2</v>
      </c>
      <c r="Q9" s="237" t="n">
        <v>415.3</v>
      </c>
      <c r="R9" s="237" t="n">
        <v>568.2</v>
      </c>
      <c r="S9" s="237" t="n">
        <v>612.3</v>
      </c>
      <c r="T9" s="237" t="n">
        <v>635.8</v>
      </c>
      <c r="U9" s="237" t="n">
        <v>641</v>
      </c>
      <c r="V9" s="237" t="n">
        <v>695.2</v>
      </c>
      <c r="W9" s="237" t="n">
        <v>700.3</v>
      </c>
      <c r="X9" s="237" t="n">
        <v>705.5</v>
      </c>
      <c r="Y9" s="237" t="n">
        <v>746</v>
      </c>
      <c r="Z9" s="237" t="n">
        <v>751.2</v>
      </c>
    </row>
    <row r="10" customFormat="false" ht="15" hidden="false" customHeight="true" outlineLevel="0" collapsed="false">
      <c r="A10" s="107" t="s">
        <v>124</v>
      </c>
      <c r="B10" s="239"/>
      <c r="C10" s="239" t="n">
        <f aca="false">C7-C9</f>
        <v>1308.6</v>
      </c>
      <c r="D10" s="239" t="n">
        <f aca="false">D7-D9</f>
        <v>1338.3</v>
      </c>
      <c r="E10" s="239" t="n">
        <f aca="false">E7-E9</f>
        <v>1371.5</v>
      </c>
      <c r="F10" s="239" t="n">
        <f aca="false">F7-F9</f>
        <v>1403.8</v>
      </c>
      <c r="G10" s="239" t="n">
        <f aca="false">G7-G9</f>
        <v>1438.6</v>
      </c>
      <c r="H10" s="239" t="n">
        <f aca="false">H7-H9</f>
        <v>1471.9</v>
      </c>
      <c r="I10" s="239" t="n">
        <f aca="false">I7-I9</f>
        <v>1502.6</v>
      </c>
      <c r="J10" s="239" t="n">
        <f aca="false">J7-J9</f>
        <v>1495.7</v>
      </c>
      <c r="K10" s="239" t="n">
        <f aca="false">K7-K9</f>
        <v>1528</v>
      </c>
      <c r="L10" s="239" t="n">
        <f aca="false">L7-L9</f>
        <v>1536.4</v>
      </c>
      <c r="M10" s="239" t="n">
        <f aca="false">M7-M9</f>
        <v>1557.8</v>
      </c>
      <c r="N10" s="239" t="n">
        <f aca="false">N7-N9</f>
        <v>1600.7</v>
      </c>
      <c r="O10" s="239" t="n">
        <f aca="false">O7-O9</f>
        <v>1806.9</v>
      </c>
      <c r="P10" s="239" t="n">
        <f aca="false">P7-P9</f>
        <v>1903.6</v>
      </c>
      <c r="Q10" s="239" t="n">
        <f aca="false">Q7-Q9</f>
        <v>2030.3</v>
      </c>
      <c r="R10" s="239" t="n">
        <f aca="false">R7-R9</f>
        <v>2041.4</v>
      </c>
      <c r="S10" s="239" t="n">
        <f aca="false">S7-S9</f>
        <v>2210.8</v>
      </c>
      <c r="T10" s="239" t="n">
        <f aca="false">T7-T9</f>
        <v>2401.2</v>
      </c>
      <c r="U10" s="239" t="n">
        <f aca="false">U7-U9</f>
        <v>2610.4</v>
      </c>
      <c r="V10" s="239" t="n">
        <f aca="false">V7-V9</f>
        <v>2770.9</v>
      </c>
      <c r="W10" s="239" t="n">
        <f aca="false">W7-W9</f>
        <v>2981</v>
      </c>
      <c r="X10" s="239" t="n">
        <f aca="false">X7-X9</f>
        <v>3191.5</v>
      </c>
      <c r="Y10" s="239" t="n">
        <f aca="false">Y7-Y9</f>
        <v>3367</v>
      </c>
      <c r="Z10" s="239" t="n">
        <f aca="false">Z7-Z9</f>
        <v>3578.3</v>
      </c>
    </row>
    <row r="11" customFormat="false" ht="15" hidden="false" customHeight="true" outlineLevel="0" collapsed="false">
      <c r="A11" s="236" t="s">
        <v>125</v>
      </c>
      <c r="B11" s="240"/>
      <c r="C11" s="241" t="n">
        <f aca="false">C10/C7</f>
        <v>0.79710056648596</v>
      </c>
      <c r="D11" s="241" t="n">
        <f aca="false">D10/D7</f>
        <v>0.792925702097405</v>
      </c>
      <c r="E11" s="241" t="n">
        <f aca="false">E10/E7</f>
        <v>0.791356528763487</v>
      </c>
      <c r="F11" s="241" t="n">
        <f aca="false">F10/F7</f>
        <v>0.790605992340617</v>
      </c>
      <c r="G11" s="241" t="n">
        <f aca="false">G10/G7</f>
        <v>0.792267870910893</v>
      </c>
      <c r="H11" s="241" t="n">
        <f aca="false">H10/H7</f>
        <v>0.792622509423802</v>
      </c>
      <c r="I11" s="241" t="n">
        <f aca="false">I10/I7</f>
        <v>0.792051025249064</v>
      </c>
      <c r="J11" s="241" t="n">
        <f aca="false">J10/J7</f>
        <v>0.77149636354258</v>
      </c>
      <c r="K11" s="241" t="n">
        <f aca="false">K10/K7</f>
        <v>0.772185162724884</v>
      </c>
      <c r="L11" s="241" t="n">
        <f aca="false">L10/L7</f>
        <v>0.760594059405941</v>
      </c>
      <c r="M11" s="241" t="n">
        <f aca="false">M10/M7</f>
        <v>0.756140180564994</v>
      </c>
      <c r="N11" s="242" t="n">
        <f aca="false">N10/N7</f>
        <v>0.76212921963529</v>
      </c>
      <c r="O11" s="241" t="n">
        <f aca="false">O10/O7</f>
        <v>0.826805161526494</v>
      </c>
      <c r="P11" s="241" t="n">
        <f aca="false">P10/P7</f>
        <v>0.822005354521116</v>
      </c>
      <c r="Q11" s="241" t="n">
        <f aca="false">Q10/Q7</f>
        <v>0.830184821720641</v>
      </c>
      <c r="R11" s="241" t="n">
        <f aca="false">R10/R7</f>
        <v>0.782265481299816</v>
      </c>
      <c r="S11" s="241" t="n">
        <f aca="false">S10/S7</f>
        <v>0.783110764762141</v>
      </c>
      <c r="T11" s="241" t="n">
        <f aca="false">T10/T7</f>
        <v>0.790648666447152</v>
      </c>
      <c r="U11" s="241" t="n">
        <f aca="false">U10/U7</f>
        <v>0.802854155133173</v>
      </c>
      <c r="V11" s="241" t="n">
        <f aca="false">V10/V7</f>
        <v>0.799428752776896</v>
      </c>
      <c r="W11" s="241" t="n">
        <f aca="false">W10/W7</f>
        <v>0.809768288376389</v>
      </c>
      <c r="X11" s="241" t="n">
        <f aca="false">X10/X7</f>
        <v>0.818963305106492</v>
      </c>
      <c r="Y11" s="241" t="n">
        <f aca="false">Y10/Y7</f>
        <v>0.818623875516655</v>
      </c>
      <c r="Z11" s="241" t="n">
        <f aca="false">Z10/Z7</f>
        <v>0.826492666589676</v>
      </c>
    </row>
    <row r="12" customFormat="false" ht="6" hidden="false" customHeight="true" outlineLevel="0" collapsed="false"/>
    <row r="13" customFormat="false" ht="15" hidden="false" customHeight="true" outlineLevel="0" collapsed="false">
      <c r="A13" s="236" t="s">
        <v>126</v>
      </c>
      <c r="B13" s="179"/>
      <c r="C13" s="237" t="n">
        <v>369.5</v>
      </c>
      <c r="D13" s="237" t="n">
        <v>383.5</v>
      </c>
      <c r="E13" s="237" t="n">
        <v>395.4</v>
      </c>
      <c r="F13" s="237" t="n">
        <v>414.8</v>
      </c>
      <c r="G13" s="237" t="n">
        <v>424.1</v>
      </c>
      <c r="H13" s="237" t="n">
        <v>431.6</v>
      </c>
      <c r="I13" s="237" t="n">
        <v>463.8</v>
      </c>
      <c r="J13" s="237" t="n">
        <v>461.5</v>
      </c>
      <c r="K13" s="237" t="n">
        <v>466.8</v>
      </c>
      <c r="L13" s="237" t="n">
        <v>488.7</v>
      </c>
      <c r="M13" s="237" t="n">
        <v>504.7</v>
      </c>
      <c r="N13" s="238" t="n">
        <v>508.1</v>
      </c>
      <c r="O13" s="237" t="n">
        <v>570.4</v>
      </c>
      <c r="P13" s="237" t="n">
        <v>572.8</v>
      </c>
      <c r="Q13" s="237" t="n">
        <v>593.5</v>
      </c>
      <c r="R13" s="237" t="n">
        <v>667.7</v>
      </c>
      <c r="S13" s="237" t="n">
        <v>710.7</v>
      </c>
      <c r="T13" s="237" t="n">
        <v>748.9</v>
      </c>
      <c r="U13" s="237" t="n">
        <v>773.1</v>
      </c>
      <c r="V13" s="237" t="n">
        <v>820.6</v>
      </c>
      <c r="W13" s="237" t="n">
        <v>843.9</v>
      </c>
      <c r="X13" s="237" t="n">
        <v>865.6</v>
      </c>
      <c r="Y13" s="237" t="n">
        <v>894.7</v>
      </c>
      <c r="Z13" s="237" t="n">
        <v>919.4</v>
      </c>
    </row>
    <row r="14" customFormat="false" ht="15" hidden="false" customHeight="true" outlineLevel="0" collapsed="false">
      <c r="A14" s="236" t="s">
        <v>127</v>
      </c>
      <c r="B14" s="179"/>
      <c r="C14" s="237" t="n">
        <v>403.4</v>
      </c>
      <c r="D14" s="237" t="n">
        <v>403.4</v>
      </c>
      <c r="E14" s="237" t="n">
        <v>419</v>
      </c>
      <c r="F14" s="237" t="n">
        <v>431.8</v>
      </c>
      <c r="G14" s="237" t="n">
        <v>453.1</v>
      </c>
      <c r="H14" s="237" t="n">
        <v>476.6</v>
      </c>
      <c r="I14" s="237" t="n">
        <v>513.8</v>
      </c>
      <c r="J14" s="237" t="n">
        <v>500.5</v>
      </c>
      <c r="K14" s="237" t="n">
        <v>522.1</v>
      </c>
      <c r="L14" s="237" t="n">
        <v>542.6</v>
      </c>
      <c r="M14" s="237" t="n">
        <v>568</v>
      </c>
      <c r="N14" s="238" t="n">
        <v>606.2</v>
      </c>
      <c r="O14" s="237" t="n">
        <v>740.7</v>
      </c>
      <c r="P14" s="237" t="n">
        <v>777.5</v>
      </c>
      <c r="Q14" s="237" t="n">
        <v>783.9</v>
      </c>
      <c r="R14" s="237" t="n">
        <v>1338.9</v>
      </c>
      <c r="S14" s="237" t="n">
        <v>1492.8</v>
      </c>
      <c r="T14" s="237" t="n">
        <v>1576.1</v>
      </c>
      <c r="U14" s="237" t="n">
        <v>1616.7</v>
      </c>
      <c r="V14" s="237" t="n">
        <v>1750.5</v>
      </c>
      <c r="W14" s="237" t="n">
        <v>1836.1</v>
      </c>
      <c r="X14" s="237" t="n">
        <v>1899.7</v>
      </c>
      <c r="Y14" s="237" t="n">
        <v>1945</v>
      </c>
      <c r="Z14" s="237" t="n">
        <v>1987.8</v>
      </c>
    </row>
    <row r="15" customFormat="false" ht="15" hidden="false" customHeight="true" outlineLevel="0" collapsed="false">
      <c r="A15" s="236" t="s">
        <v>128</v>
      </c>
      <c r="B15" s="179"/>
      <c r="C15" s="237" t="n">
        <v>170.2</v>
      </c>
      <c r="D15" s="237" t="n">
        <v>175.6</v>
      </c>
      <c r="E15" s="237" t="n">
        <v>180.2</v>
      </c>
      <c r="F15" s="237" t="n">
        <v>178.4</v>
      </c>
      <c r="G15" s="237" t="n">
        <v>180.5</v>
      </c>
      <c r="H15" s="237" t="n">
        <v>186.2</v>
      </c>
      <c r="I15" s="237" t="n">
        <v>192.2</v>
      </c>
      <c r="J15" s="237" t="n">
        <v>187.5</v>
      </c>
      <c r="K15" s="237" t="n">
        <v>209.5</v>
      </c>
      <c r="L15" s="237" t="n">
        <v>208.2</v>
      </c>
      <c r="M15" s="237" t="n">
        <v>201</v>
      </c>
      <c r="N15" s="238" t="n">
        <v>219.6</v>
      </c>
      <c r="O15" s="237" t="n">
        <v>239.4</v>
      </c>
      <c r="P15" s="237" t="n">
        <v>229.7</v>
      </c>
      <c r="Q15" s="237" t="n">
        <v>223.8</v>
      </c>
      <c r="R15" s="237" t="n">
        <v>207.4</v>
      </c>
      <c r="S15" s="237" t="n">
        <v>216.4</v>
      </c>
      <c r="T15" s="237" t="n">
        <v>216.4</v>
      </c>
      <c r="U15" s="237" t="n">
        <v>216.4</v>
      </c>
      <c r="V15" s="237" t="n">
        <v>229.5</v>
      </c>
      <c r="W15" s="237" t="n">
        <v>229.5</v>
      </c>
      <c r="X15" s="237" t="n">
        <v>229.5</v>
      </c>
      <c r="Y15" s="237" t="n">
        <v>238.9</v>
      </c>
      <c r="Z15" s="237" t="n">
        <v>238.9</v>
      </c>
    </row>
    <row r="16" customFormat="false" ht="15" hidden="false" customHeight="true" outlineLevel="0" collapsed="false">
      <c r="A16" s="232" t="s">
        <v>129</v>
      </c>
      <c r="B16" s="233"/>
      <c r="C16" s="234" t="n">
        <f aca="false">SUM(C13:C15)</f>
        <v>943.1</v>
      </c>
      <c r="D16" s="234" t="n">
        <f aca="false">SUM(D13:D15)</f>
        <v>962.5</v>
      </c>
      <c r="E16" s="234" t="n">
        <f aca="false">SUM(E13:E15)</f>
        <v>994.6</v>
      </c>
      <c r="F16" s="234" t="n">
        <f aca="false">SUM(F13:F15)</f>
        <v>1025</v>
      </c>
      <c r="G16" s="234" t="n">
        <f aca="false">SUM(G13:G15)</f>
        <v>1057.7</v>
      </c>
      <c r="H16" s="234" t="n">
        <f aca="false">SUM(H13:H15)</f>
        <v>1094.4</v>
      </c>
      <c r="I16" s="234" t="n">
        <f aca="false">SUM(I13:I15)</f>
        <v>1169.8</v>
      </c>
      <c r="J16" s="234" t="n">
        <f aca="false">SUM(J13:J15)</f>
        <v>1149.5</v>
      </c>
      <c r="K16" s="234" t="n">
        <f aca="false">SUM(K13:K15)</f>
        <v>1198.4</v>
      </c>
      <c r="L16" s="234" t="n">
        <f aca="false">SUM(L13:L15)</f>
        <v>1239.5</v>
      </c>
      <c r="M16" s="234" t="n">
        <f aca="false">SUM(M13:M15)</f>
        <v>1273.7</v>
      </c>
      <c r="N16" s="235" t="n">
        <f aca="false">SUM(N13:N15)</f>
        <v>1333.9</v>
      </c>
      <c r="O16" s="234" t="n">
        <f aca="false">SUM(O13:O15)</f>
        <v>1550.5</v>
      </c>
      <c r="P16" s="234" t="n">
        <f aca="false">SUM(P13:P15)</f>
        <v>1580</v>
      </c>
      <c r="Q16" s="234" t="n">
        <f aca="false">SUM(Q13:Q15)</f>
        <v>1601.2</v>
      </c>
      <c r="R16" s="234" t="n">
        <f aca="false">SUM(R13:R15)</f>
        <v>2214</v>
      </c>
      <c r="S16" s="234" t="n">
        <f aca="false">SUM(S13:S15)</f>
        <v>2419.9</v>
      </c>
      <c r="T16" s="234" t="n">
        <f aca="false">SUM(T13:T15)</f>
        <v>2541.4</v>
      </c>
      <c r="U16" s="234" t="n">
        <f aca="false">SUM(U13:U15)</f>
        <v>2606.2</v>
      </c>
      <c r="V16" s="234" t="n">
        <f aca="false">SUM(V13:V15)</f>
        <v>2800.6</v>
      </c>
      <c r="W16" s="234" t="n">
        <f aca="false">SUM(W13:W15)</f>
        <v>2909.5</v>
      </c>
      <c r="X16" s="234" t="n">
        <f aca="false">SUM(X13:X15)</f>
        <v>2994.8</v>
      </c>
      <c r="Y16" s="234" t="n">
        <f aca="false">SUM(Y13:Y15)</f>
        <v>3078.6</v>
      </c>
      <c r="Z16" s="234" t="n">
        <f aca="false">SUM(Z13:Z15)</f>
        <v>3146.1</v>
      </c>
    </row>
    <row r="17" customFormat="false" ht="6" hidden="false" customHeight="true" outlineLevel="0" collapsed="false"/>
    <row r="18" customFormat="false" ht="15" hidden="false" customHeight="true" outlineLevel="0" collapsed="false">
      <c r="A18" s="107" t="s">
        <v>130</v>
      </c>
      <c r="B18" s="239"/>
      <c r="C18" s="239" t="n">
        <f aca="false">C10-C16</f>
        <v>365.5</v>
      </c>
      <c r="D18" s="239" t="n">
        <f aca="false">D10-D16</f>
        <v>375.8</v>
      </c>
      <c r="E18" s="239" t="n">
        <f aca="false">E10-E16</f>
        <v>376.9</v>
      </c>
      <c r="F18" s="239" t="n">
        <f aca="false">F10-F16</f>
        <v>378.8</v>
      </c>
      <c r="G18" s="239" t="n">
        <f aca="false">G10-G16</f>
        <v>380.9</v>
      </c>
      <c r="H18" s="239" t="n">
        <f aca="false">H10-H16</f>
        <v>377.5</v>
      </c>
      <c r="I18" s="239" t="n">
        <f aca="false">I10-I16</f>
        <v>332.8</v>
      </c>
      <c r="J18" s="239" t="n">
        <f aca="false">J10-J16</f>
        <v>346.2</v>
      </c>
      <c r="K18" s="239" t="n">
        <f aca="false">K10-K16</f>
        <v>329.6</v>
      </c>
      <c r="L18" s="239" t="n">
        <f aca="false">L10-L16</f>
        <v>296.9</v>
      </c>
      <c r="M18" s="239" t="n">
        <f aca="false">M10-M16</f>
        <v>284.1</v>
      </c>
      <c r="N18" s="239" t="n">
        <f aca="false">N10-N16</f>
        <v>266.8</v>
      </c>
      <c r="O18" s="239" t="n">
        <f aca="false">O10-O16</f>
        <v>256.4</v>
      </c>
      <c r="P18" s="239" t="n">
        <f aca="false">P10-P16</f>
        <v>323.6</v>
      </c>
      <c r="Q18" s="239" t="n">
        <f aca="false">Q10-Q16</f>
        <v>429.1</v>
      </c>
      <c r="R18" s="239" t="n">
        <f aca="false">R10-R16</f>
        <v>-172.6</v>
      </c>
      <c r="S18" s="239" t="n">
        <f aca="false">S10-S16</f>
        <v>-209.1</v>
      </c>
      <c r="T18" s="239" t="n">
        <f aca="false">T10-T16</f>
        <v>-140.2</v>
      </c>
      <c r="U18" s="239" t="n">
        <f aca="false">U10-U16</f>
        <v>4.19999999999982</v>
      </c>
      <c r="V18" s="239" t="n">
        <f aca="false">V10-V16</f>
        <v>-29.7000000000003</v>
      </c>
      <c r="W18" s="239" t="n">
        <f aca="false">W10-W16</f>
        <v>71.5</v>
      </c>
      <c r="X18" s="239" t="n">
        <f aca="false">X10-X16</f>
        <v>196.7</v>
      </c>
      <c r="Y18" s="239" t="n">
        <f aca="false">Y10-Y16</f>
        <v>288.4</v>
      </c>
      <c r="Z18" s="239" t="n">
        <f aca="false">Z10-Z16</f>
        <v>432.2</v>
      </c>
    </row>
    <row r="19" customFormat="false" ht="15" hidden="false" customHeight="true" outlineLevel="0" collapsed="false">
      <c r="A19" s="236" t="s">
        <v>131</v>
      </c>
      <c r="B19" s="240"/>
      <c r="C19" s="241" t="n">
        <f aca="false">C18/C7</f>
        <v>0.222635073399525</v>
      </c>
      <c r="D19" s="241" t="n">
        <f aca="false">D18/D7</f>
        <v>0.222656712880673</v>
      </c>
      <c r="E19" s="241" t="n">
        <f aca="false">E18/E7</f>
        <v>0.217471582713058</v>
      </c>
      <c r="F19" s="241" t="n">
        <f aca="false">F18/F7</f>
        <v>0.213336337012841</v>
      </c>
      <c r="G19" s="241" t="n">
        <f aca="false">G18/G7</f>
        <v>0.209769798435951</v>
      </c>
      <c r="H19" s="241" t="n">
        <f aca="false">H18/H7</f>
        <v>0.203284868066774</v>
      </c>
      <c r="I19" s="241" t="n">
        <f aca="false">I18/I7</f>
        <v>0.175425649675821</v>
      </c>
      <c r="J19" s="241" t="n">
        <f aca="false">J18/J7</f>
        <v>0.17857327074844</v>
      </c>
      <c r="K19" s="241" t="n">
        <f aca="false">K18/K7</f>
        <v>0.166565595310289</v>
      </c>
      <c r="L19" s="241" t="n">
        <f aca="false">L18/L7</f>
        <v>0.146980198019802</v>
      </c>
      <c r="M19" s="241" t="n">
        <f aca="false">M18/M7</f>
        <v>0.137899233084166</v>
      </c>
      <c r="N19" s="242" t="n">
        <f aca="false">N18/N7</f>
        <v>0.127029471980193</v>
      </c>
      <c r="O19" s="241" t="n">
        <f aca="false">O18/O7</f>
        <v>0.117324059668711</v>
      </c>
      <c r="P19" s="241" t="n">
        <f aca="false">P18/P7</f>
        <v>0.139735728473962</v>
      </c>
      <c r="Q19" s="241" t="n">
        <f aca="false">Q18/Q7</f>
        <v>0.175457965325482</v>
      </c>
      <c r="R19" s="241" t="n">
        <f aca="false">R18/R7</f>
        <v>-0.066140404659718</v>
      </c>
      <c r="S19" s="241" t="n">
        <f aca="false">S18/S7</f>
        <v>-0.0740675144344869</v>
      </c>
      <c r="T19" s="241" t="n">
        <f aca="false">T18/T7</f>
        <v>-0.0461639776094831</v>
      </c>
      <c r="U19" s="241" t="n">
        <f aca="false">U18/U7</f>
        <v>0.00129175124561722</v>
      </c>
      <c r="V19" s="241" t="n">
        <f aca="false">V18/V7</f>
        <v>-0.00856870834655673</v>
      </c>
      <c r="W19" s="241" t="n">
        <f aca="false">W18/W7</f>
        <v>0.0194224866215739</v>
      </c>
      <c r="X19" s="241" t="n">
        <f aca="false">X18/X7</f>
        <v>0.0504747241467795</v>
      </c>
      <c r="Y19" s="241" t="n">
        <f aca="false">Y18/Y7</f>
        <v>0.0701191344517384</v>
      </c>
      <c r="Z19" s="241" t="n">
        <f aca="false">Z18/Z7</f>
        <v>0.099826769834854</v>
      </c>
    </row>
    <row r="20" customFormat="false" ht="15" hidden="false" customHeight="true" outlineLevel="0" collapsed="false">
      <c r="A20" s="243"/>
      <c r="B20" s="244"/>
      <c r="C20" s="244"/>
      <c r="D20" s="244"/>
      <c r="E20" s="244"/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4"/>
      <c r="T20" s="244"/>
      <c r="U20" s="244"/>
    </row>
    <row r="21" customFormat="false" ht="15" hidden="false" customHeight="true" outlineLevel="0" collapsed="false">
      <c r="A21" s="118"/>
      <c r="B21" s="245"/>
      <c r="C21" s="245"/>
      <c r="D21" s="245"/>
      <c r="E21" s="245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5"/>
      <c r="U21" s="245"/>
    </row>
    <row r="22" customFormat="false" ht="15" hidden="false" customHeight="true" outlineLevel="0" collapsed="false">
      <c r="A22" s="229" t="s">
        <v>132</v>
      </c>
      <c r="B22" s="229"/>
      <c r="C22" s="229"/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</row>
    <row r="23" customFormat="false" ht="15" hidden="false" customHeight="true" outlineLevel="0" collapsed="false">
      <c r="A23" s="236" t="s">
        <v>277</v>
      </c>
      <c r="B23" s="179"/>
      <c r="C23" s="237" t="n">
        <v>21</v>
      </c>
      <c r="D23" s="237" t="n">
        <v>22</v>
      </c>
      <c r="E23" s="237" t="n">
        <v>22</v>
      </c>
      <c r="F23" s="237" t="n">
        <v>22</v>
      </c>
      <c r="G23" s="237" t="n">
        <v>22</v>
      </c>
      <c r="H23" s="237" t="n">
        <v>22</v>
      </c>
      <c r="I23" s="237" t="n">
        <v>22</v>
      </c>
      <c r="J23" s="237" t="n">
        <v>24</v>
      </c>
      <c r="K23" s="237" t="n">
        <v>24</v>
      </c>
      <c r="L23" s="237" t="n">
        <v>24</v>
      </c>
      <c r="M23" s="237" t="n">
        <v>24</v>
      </c>
      <c r="N23" s="238" t="n">
        <v>24</v>
      </c>
      <c r="O23" s="237" t="n">
        <v>24</v>
      </c>
      <c r="P23" s="237" t="n">
        <v>26</v>
      </c>
      <c r="Q23" s="237" t="n">
        <v>26</v>
      </c>
      <c r="R23" s="237" t="n">
        <v>27</v>
      </c>
      <c r="S23" s="237" t="n">
        <v>29</v>
      </c>
      <c r="T23" s="237" t="n">
        <v>30</v>
      </c>
      <c r="U23" s="237" t="n">
        <v>30</v>
      </c>
      <c r="V23" s="237" t="n">
        <v>32</v>
      </c>
      <c r="W23" s="237" t="n">
        <v>32</v>
      </c>
      <c r="X23" s="237" t="n">
        <v>32</v>
      </c>
      <c r="Y23" s="237" t="n">
        <v>34</v>
      </c>
      <c r="Z23" s="237" t="n">
        <v>34</v>
      </c>
    </row>
    <row r="24" customFormat="false" ht="15" hidden="false" customHeight="true" outlineLevel="0" collapsed="false">
      <c r="A24" s="236" t="s">
        <v>278</v>
      </c>
      <c r="B24" s="179"/>
      <c r="C24" s="237" t="n">
        <v>20</v>
      </c>
      <c r="D24" s="237" t="n">
        <v>21</v>
      </c>
      <c r="E24" s="237" t="n">
        <v>21</v>
      </c>
      <c r="F24" s="237" t="n">
        <v>21</v>
      </c>
      <c r="G24" s="237" t="n">
        <v>21</v>
      </c>
      <c r="H24" s="237" t="n">
        <v>22</v>
      </c>
      <c r="I24" s="237" t="n">
        <v>22</v>
      </c>
      <c r="J24" s="237" t="n">
        <v>23</v>
      </c>
      <c r="K24" s="237" t="n">
        <v>23</v>
      </c>
      <c r="L24" s="237" t="n">
        <v>24</v>
      </c>
      <c r="M24" s="237" t="n">
        <v>24</v>
      </c>
      <c r="N24" s="238" t="n">
        <v>24</v>
      </c>
      <c r="O24" s="237" t="n">
        <v>25</v>
      </c>
      <c r="P24" s="237" t="n">
        <v>25</v>
      </c>
      <c r="Q24" s="237" t="n">
        <v>26</v>
      </c>
      <c r="R24" s="237" t="n">
        <v>28</v>
      </c>
      <c r="S24" s="237" t="n">
        <v>30</v>
      </c>
      <c r="T24" s="237" t="n">
        <v>32</v>
      </c>
      <c r="U24" s="237" t="n">
        <v>33</v>
      </c>
      <c r="V24" s="237" t="n">
        <v>35</v>
      </c>
      <c r="W24" s="237" t="n">
        <v>36</v>
      </c>
      <c r="X24" s="237" t="n">
        <v>37</v>
      </c>
      <c r="Y24" s="237" t="n">
        <v>38</v>
      </c>
      <c r="Z24" s="237" t="n">
        <v>39</v>
      </c>
    </row>
    <row r="25" customFormat="false" ht="15" hidden="false" customHeight="true" outlineLevel="0" collapsed="false">
      <c r="A25" s="236" t="s">
        <v>279</v>
      </c>
      <c r="B25" s="179"/>
      <c r="C25" s="237" t="n">
        <v>25</v>
      </c>
      <c r="D25" s="237" t="n">
        <v>26</v>
      </c>
      <c r="E25" s="237" t="n">
        <v>27</v>
      </c>
      <c r="F25" s="237" t="n">
        <v>27</v>
      </c>
      <c r="G25" s="237" t="n">
        <v>27</v>
      </c>
      <c r="H25" s="237" t="n">
        <v>30</v>
      </c>
      <c r="I25" s="237" t="n">
        <v>30</v>
      </c>
      <c r="J25" s="237" t="n">
        <v>30</v>
      </c>
      <c r="K25" s="237" t="n">
        <v>30</v>
      </c>
      <c r="L25" s="237" t="n">
        <v>33</v>
      </c>
      <c r="M25" s="237" t="n">
        <v>33</v>
      </c>
      <c r="N25" s="238" t="n">
        <v>33</v>
      </c>
      <c r="O25" s="237" t="n">
        <v>33</v>
      </c>
      <c r="P25" s="237" t="n">
        <v>35</v>
      </c>
      <c r="Q25" s="237" t="n">
        <v>35</v>
      </c>
      <c r="R25" s="237" t="n">
        <v>41</v>
      </c>
      <c r="S25" s="237" t="n">
        <v>46</v>
      </c>
      <c r="T25" s="237" t="n">
        <v>49</v>
      </c>
      <c r="U25" s="237" t="n">
        <v>51</v>
      </c>
      <c r="V25" s="237" t="n">
        <v>55</v>
      </c>
      <c r="W25" s="237" t="n">
        <v>57</v>
      </c>
      <c r="X25" s="237" t="n">
        <v>59</v>
      </c>
      <c r="Y25" s="237" t="n">
        <v>61</v>
      </c>
      <c r="Z25" s="237" t="n">
        <v>63</v>
      </c>
    </row>
    <row r="26" customFormat="false" ht="15" hidden="false" customHeight="true" outlineLevel="0" collapsed="false">
      <c r="A26" s="236" t="s">
        <v>280</v>
      </c>
      <c r="B26" s="179"/>
      <c r="C26" s="237" t="n">
        <v>11</v>
      </c>
      <c r="D26" s="237" t="n">
        <v>12</v>
      </c>
      <c r="E26" s="237" t="n">
        <v>12</v>
      </c>
      <c r="F26" s="237" t="n">
        <v>12</v>
      </c>
      <c r="G26" s="237" t="n">
        <v>12</v>
      </c>
      <c r="H26" s="237" t="n">
        <v>12</v>
      </c>
      <c r="I26" s="237" t="n">
        <v>12</v>
      </c>
      <c r="J26" s="237" t="n">
        <v>14</v>
      </c>
      <c r="K26" s="237" t="n">
        <v>14</v>
      </c>
      <c r="L26" s="237" t="n">
        <v>14</v>
      </c>
      <c r="M26" s="237" t="n">
        <v>14</v>
      </c>
      <c r="N26" s="238" t="n">
        <v>14</v>
      </c>
      <c r="O26" s="237" t="n">
        <v>14</v>
      </c>
      <c r="P26" s="237" t="n">
        <v>14</v>
      </c>
      <c r="Q26" s="237" t="n">
        <v>14</v>
      </c>
      <c r="R26" s="237" t="n">
        <v>14</v>
      </c>
      <c r="S26" s="237" t="n">
        <v>15</v>
      </c>
      <c r="T26" s="237" t="n">
        <v>15</v>
      </c>
      <c r="U26" s="237" t="n">
        <v>15</v>
      </c>
      <c r="V26" s="237" t="n">
        <v>16</v>
      </c>
      <c r="W26" s="237" t="n">
        <v>16</v>
      </c>
      <c r="X26" s="237" t="n">
        <v>16</v>
      </c>
      <c r="Y26" s="237" t="n">
        <v>17</v>
      </c>
      <c r="Z26" s="237" t="n">
        <v>17</v>
      </c>
    </row>
    <row r="27" customFormat="false" ht="15" hidden="false" customHeight="true" outlineLevel="0" collapsed="false">
      <c r="A27" s="232" t="s">
        <v>137</v>
      </c>
      <c r="B27" s="233"/>
      <c r="C27" s="234" t="n">
        <f aca="false">SUM(C23:C26)</f>
        <v>77</v>
      </c>
      <c r="D27" s="234" t="n">
        <f aca="false">SUM(D23:D26)</f>
        <v>81</v>
      </c>
      <c r="E27" s="234" t="n">
        <f aca="false">SUM(E23:E26)</f>
        <v>82</v>
      </c>
      <c r="F27" s="234" t="n">
        <f aca="false">SUM(F23:F26)</f>
        <v>82</v>
      </c>
      <c r="G27" s="234" t="n">
        <f aca="false">SUM(G23:G26)</f>
        <v>82</v>
      </c>
      <c r="H27" s="234" t="n">
        <f aca="false">SUM(H23:H26)</f>
        <v>86</v>
      </c>
      <c r="I27" s="234" t="n">
        <f aca="false">SUM(I23:I26)</f>
        <v>86</v>
      </c>
      <c r="J27" s="234" t="n">
        <f aca="false">SUM(J23:J26)</f>
        <v>91</v>
      </c>
      <c r="K27" s="234" t="n">
        <f aca="false">SUM(K23:K26)</f>
        <v>91</v>
      </c>
      <c r="L27" s="234" t="n">
        <f aca="false">SUM(L23:L26)</f>
        <v>95</v>
      </c>
      <c r="M27" s="234" t="n">
        <f aca="false">SUM(M23:M26)</f>
        <v>95</v>
      </c>
      <c r="N27" s="235" t="n">
        <f aca="false">SUM(N23:N26)</f>
        <v>95</v>
      </c>
      <c r="O27" s="234" t="n">
        <f aca="false">SUM(O23:O26)</f>
        <v>96</v>
      </c>
      <c r="P27" s="234" t="n">
        <f aca="false">SUM(P23:P26)</f>
        <v>100</v>
      </c>
      <c r="Q27" s="234" t="n">
        <f aca="false">SUM(Q23:Q26)</f>
        <v>101</v>
      </c>
      <c r="R27" s="234" t="n">
        <f aca="false">SUM(R23:R26)</f>
        <v>110</v>
      </c>
      <c r="S27" s="234" t="n">
        <f aca="false">SUM(S23:S26)</f>
        <v>120</v>
      </c>
      <c r="T27" s="234" t="n">
        <f aca="false">SUM(T23:T26)</f>
        <v>126</v>
      </c>
      <c r="U27" s="234" t="n">
        <f aca="false">SUM(U23:U26)</f>
        <v>129</v>
      </c>
      <c r="V27" s="234" t="n">
        <f aca="false">SUM(V23:V26)</f>
        <v>138</v>
      </c>
      <c r="W27" s="234" t="n">
        <f aca="false">SUM(W23:W26)</f>
        <v>141</v>
      </c>
      <c r="X27" s="234" t="n">
        <f aca="false">SUM(X23:X26)</f>
        <v>144</v>
      </c>
      <c r="Y27" s="234" t="n">
        <f aca="false">SUM(Y23:Y26)</f>
        <v>150</v>
      </c>
      <c r="Z27" s="234" t="n">
        <f aca="false">SUM(Z23:Z26)</f>
        <v>153</v>
      </c>
    </row>
  </sheetData>
  <mergeCells count="5">
    <mergeCell ref="A2:Q2"/>
    <mergeCell ref="A3:Q3"/>
    <mergeCell ref="C5:N5"/>
    <mergeCell ref="O5:Q5"/>
    <mergeCell ref="A22:Q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7E6E"/>
    <pageSetUpPr fitToPage="false"/>
  </sheetPr>
  <dimension ref="A1:Z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C7" activeCellId="0" sqref="C7"/>
    </sheetView>
  </sheetViews>
  <sheetFormatPr defaultColWidth="8.71484375" defaultRowHeight="15" zeroHeight="false" outlineLevelRow="0" outlineLevelCol="0"/>
  <cols>
    <col collapsed="false" customWidth="true" hidden="false" outlineLevel="0" max="1" min="1" style="32" width="30"/>
    <col collapsed="false" customWidth="true" hidden="false" outlineLevel="0" max="2" min="2" style="32" width="1.57"/>
    <col collapsed="false" customWidth="true" hidden="false" outlineLevel="0" max="26" min="3" style="32" width="8.42"/>
  </cols>
  <sheetData>
    <row r="1" customFormat="false" ht="7.5" hidden="false" customHeight="true" outlineLevel="0" collapsed="false"/>
    <row r="2" customFormat="false" ht="24" hidden="false" customHeight="true" outlineLevel="0" collapsed="false">
      <c r="A2" s="246" t="s">
        <v>281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6"/>
      <c r="Z2" s="246"/>
    </row>
    <row r="3" customFormat="false" ht="15" hidden="false" customHeight="true" outlineLevel="0" collapsed="false">
      <c r="A3" s="247" t="s">
        <v>282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</row>
    <row r="4" customFormat="false" ht="7.5" hidden="false" customHeight="true" outlineLevel="0" collapsed="false"/>
    <row r="5" customFormat="false" ht="15" hidden="false" customHeight="true" outlineLevel="0" collapsed="false">
      <c r="C5" s="248" t="s">
        <v>283</v>
      </c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 t="s">
        <v>232</v>
      </c>
      <c r="P5" s="248"/>
      <c r="Q5" s="248"/>
      <c r="R5" s="248" t="s">
        <v>233</v>
      </c>
      <c r="S5" s="248"/>
      <c r="T5" s="248"/>
      <c r="U5" s="248"/>
      <c r="V5" s="248"/>
      <c r="W5" s="248"/>
      <c r="X5" s="248"/>
      <c r="Y5" s="248"/>
      <c r="Z5" s="248"/>
    </row>
    <row r="6" customFormat="false" ht="15.75" hidden="false" customHeight="true" outlineLevel="0" collapsed="false">
      <c r="A6" s="249" t="s">
        <v>234</v>
      </c>
      <c r="B6" s="250"/>
      <c r="C6" s="249" t="s">
        <v>235</v>
      </c>
      <c r="D6" s="249" t="s">
        <v>236</v>
      </c>
      <c r="E6" s="249" t="s">
        <v>237</v>
      </c>
      <c r="F6" s="249" t="s">
        <v>238</v>
      </c>
      <c r="G6" s="249" t="s">
        <v>239</v>
      </c>
      <c r="H6" s="249" t="s">
        <v>240</v>
      </c>
      <c r="I6" s="249" t="s">
        <v>241</v>
      </c>
      <c r="J6" s="249" t="s">
        <v>242</v>
      </c>
      <c r="K6" s="249" t="s">
        <v>243</v>
      </c>
      <c r="L6" s="249" t="s">
        <v>244</v>
      </c>
      <c r="M6" s="249" t="s">
        <v>245</v>
      </c>
      <c r="N6" s="249" t="s">
        <v>246</v>
      </c>
      <c r="O6" s="249" t="s">
        <v>247</v>
      </c>
      <c r="P6" s="249" t="s">
        <v>248</v>
      </c>
      <c r="Q6" s="249" t="s">
        <v>249</v>
      </c>
      <c r="R6" s="249" t="s">
        <v>250</v>
      </c>
      <c r="S6" s="249" t="s">
        <v>251</v>
      </c>
      <c r="T6" s="249" t="s">
        <v>252</v>
      </c>
      <c r="U6" s="249" t="s">
        <v>253</v>
      </c>
      <c r="V6" s="249" t="s">
        <v>254</v>
      </c>
      <c r="W6" s="249" t="s">
        <v>255</v>
      </c>
      <c r="X6" s="249" t="s">
        <v>256</v>
      </c>
      <c r="Y6" s="249" t="s">
        <v>257</v>
      </c>
      <c r="Z6" s="249" t="s">
        <v>258</v>
      </c>
    </row>
    <row r="7" customFormat="false" ht="18" hidden="false" customHeight="true" outlineLevel="0" collapsed="false">
      <c r="A7" s="251" t="s">
        <v>284</v>
      </c>
    </row>
    <row r="8" customFormat="false" ht="15.75" hidden="false" customHeight="true" outlineLevel="0" collapsed="false">
      <c r="A8" s="252" t="s">
        <v>105</v>
      </c>
      <c r="B8" s="253"/>
      <c r="C8" s="254" t="n">
        <v>19077</v>
      </c>
      <c r="D8" s="254" t="n">
        <v>19614</v>
      </c>
      <c r="E8" s="254" t="n">
        <v>20151</v>
      </c>
      <c r="F8" s="254" t="n">
        <v>20688</v>
      </c>
      <c r="G8" s="254" t="n">
        <v>21167</v>
      </c>
      <c r="H8" s="254" t="n">
        <v>21646</v>
      </c>
      <c r="I8" s="254" t="n">
        <v>22125</v>
      </c>
      <c r="J8" s="254" t="n">
        <v>22604</v>
      </c>
      <c r="K8" s="254" t="n">
        <v>23084</v>
      </c>
      <c r="L8" s="254" t="n">
        <v>23563</v>
      </c>
      <c r="M8" s="254" t="n">
        <v>24042</v>
      </c>
      <c r="N8" s="255" t="n">
        <v>24521</v>
      </c>
      <c r="O8" s="254" t="n">
        <v>25000</v>
      </c>
      <c r="P8" s="254" t="n">
        <v>26547</v>
      </c>
      <c r="Q8" s="255" t="n">
        <v>28093</v>
      </c>
      <c r="R8" s="254" t="n">
        <v>29640</v>
      </c>
      <c r="S8" s="254" t="n">
        <v>32199.3</v>
      </c>
      <c r="T8" s="254" t="n">
        <v>34763.7</v>
      </c>
      <c r="U8" s="254" t="n">
        <v>37333.2</v>
      </c>
      <c r="V8" s="254" t="n">
        <v>39907.9</v>
      </c>
      <c r="W8" s="254" t="n">
        <v>42487.7</v>
      </c>
      <c r="X8" s="254" t="n">
        <v>45072.7</v>
      </c>
      <c r="Y8" s="254" t="n">
        <v>47662.8</v>
      </c>
      <c r="Z8" s="254" t="n">
        <v>50258.1</v>
      </c>
    </row>
    <row r="9" customFormat="false" ht="4.5" hidden="false" customHeight="true" outlineLevel="0" collapsed="false">
      <c r="A9" s="256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</row>
    <row r="10" customFormat="false" ht="15.75" hidden="false" customHeight="true" outlineLevel="0" collapsed="false">
      <c r="A10" s="257" t="s">
        <v>106</v>
      </c>
      <c r="B10" s="253"/>
      <c r="C10" s="258" t="n">
        <v>514</v>
      </c>
      <c r="D10" s="258" t="n">
        <v>514</v>
      </c>
      <c r="E10" s="258" t="n">
        <v>514</v>
      </c>
      <c r="F10" s="258" t="n">
        <v>456</v>
      </c>
      <c r="G10" s="258" t="n">
        <v>456</v>
      </c>
      <c r="H10" s="258" t="n">
        <v>456</v>
      </c>
      <c r="I10" s="258" t="n">
        <v>456</v>
      </c>
      <c r="J10" s="258" t="n">
        <v>456</v>
      </c>
      <c r="K10" s="258" t="n">
        <v>456</v>
      </c>
      <c r="L10" s="258" t="n">
        <v>456</v>
      </c>
      <c r="M10" s="258" t="n">
        <v>456</v>
      </c>
      <c r="N10" s="259" t="n">
        <v>457</v>
      </c>
      <c r="O10" s="258" t="n">
        <v>1533</v>
      </c>
      <c r="P10" s="258" t="n">
        <v>1542</v>
      </c>
      <c r="Q10" s="259" t="n">
        <v>1552</v>
      </c>
      <c r="R10" s="258" t="n">
        <v>2500</v>
      </c>
      <c r="S10" s="258" t="n">
        <v>2500</v>
      </c>
      <c r="T10" s="258" t="n">
        <v>2500</v>
      </c>
      <c r="U10" s="258" t="n">
        <v>2500</v>
      </c>
      <c r="V10" s="258" t="n">
        <v>2500</v>
      </c>
      <c r="W10" s="258" t="n">
        <v>2500</v>
      </c>
      <c r="X10" s="258" t="n">
        <v>2500</v>
      </c>
      <c r="Y10" s="258" t="n">
        <v>2500</v>
      </c>
      <c r="Z10" s="258" t="n">
        <v>2500</v>
      </c>
    </row>
    <row r="11" customFormat="false" ht="15.75" hidden="false" customHeight="true" outlineLevel="0" collapsed="false">
      <c r="A11" s="257" t="s">
        <v>148</v>
      </c>
      <c r="B11" s="253"/>
      <c r="C11" s="258" t="n">
        <v>114</v>
      </c>
      <c r="D11" s="258" t="n">
        <v>118</v>
      </c>
      <c r="E11" s="258" t="n">
        <v>121</v>
      </c>
      <c r="F11" s="258" t="n">
        <v>124</v>
      </c>
      <c r="G11" s="258" t="n">
        <v>127</v>
      </c>
      <c r="H11" s="258" t="n">
        <v>130</v>
      </c>
      <c r="I11" s="258" t="n">
        <v>133</v>
      </c>
      <c r="J11" s="258" t="n">
        <v>136</v>
      </c>
      <c r="K11" s="258" t="n">
        <v>139</v>
      </c>
      <c r="L11" s="258" t="n">
        <v>141</v>
      </c>
      <c r="M11" s="258" t="n">
        <v>144</v>
      </c>
      <c r="N11" s="259" t="n">
        <v>147</v>
      </c>
      <c r="O11" s="258" t="n">
        <v>150</v>
      </c>
      <c r="P11" s="258" t="n">
        <v>159</v>
      </c>
      <c r="Q11" s="259" t="n">
        <v>169</v>
      </c>
      <c r="R11" s="258" t="n">
        <v>207.5</v>
      </c>
      <c r="S11" s="258" t="n">
        <v>225.4</v>
      </c>
      <c r="T11" s="258" t="n">
        <v>243.3</v>
      </c>
      <c r="U11" s="258" t="n">
        <v>261.3</v>
      </c>
      <c r="V11" s="258" t="n">
        <v>279.4</v>
      </c>
      <c r="W11" s="258" t="n">
        <v>297.4</v>
      </c>
      <c r="X11" s="258" t="n">
        <v>315.5</v>
      </c>
      <c r="Y11" s="258" t="n">
        <v>333.6</v>
      </c>
      <c r="Z11" s="258" t="n">
        <v>351.8</v>
      </c>
    </row>
    <row r="12" customFormat="false" ht="15.75" hidden="false" customHeight="true" outlineLevel="0" collapsed="false">
      <c r="A12" s="257" t="s">
        <v>149</v>
      </c>
      <c r="B12" s="253"/>
      <c r="C12" s="258" t="n">
        <v>-31</v>
      </c>
      <c r="D12" s="258" t="n">
        <v>-32</v>
      </c>
      <c r="E12" s="258" t="n">
        <v>-33</v>
      </c>
      <c r="F12" s="258" t="n">
        <v>-34</v>
      </c>
      <c r="G12" s="258" t="n">
        <v>-34</v>
      </c>
      <c r="H12" s="258" t="n">
        <v>-35</v>
      </c>
      <c r="I12" s="258" t="n">
        <v>-36</v>
      </c>
      <c r="J12" s="258" t="n">
        <v>-37</v>
      </c>
      <c r="K12" s="258" t="n">
        <v>-38</v>
      </c>
      <c r="L12" s="258" t="n">
        <v>-39</v>
      </c>
      <c r="M12" s="258" t="n">
        <v>-40</v>
      </c>
      <c r="N12" s="259" t="n">
        <v>-41</v>
      </c>
      <c r="O12" s="258" t="n">
        <v>-42</v>
      </c>
      <c r="P12" s="258" t="n">
        <v>-45</v>
      </c>
      <c r="Q12" s="259" t="n">
        <v>-48</v>
      </c>
      <c r="R12" s="258" t="n">
        <v>-44.5</v>
      </c>
      <c r="S12" s="258" t="n">
        <v>-48.3</v>
      </c>
      <c r="T12" s="258" t="n">
        <v>-52.1</v>
      </c>
      <c r="U12" s="258" t="n">
        <v>-56</v>
      </c>
      <c r="V12" s="258" t="n">
        <v>-59.9</v>
      </c>
      <c r="W12" s="258" t="n">
        <v>-63.7</v>
      </c>
      <c r="X12" s="258" t="n">
        <v>-67.6</v>
      </c>
      <c r="Y12" s="258" t="n">
        <v>-71.5</v>
      </c>
      <c r="Z12" s="258" t="n">
        <v>-75.4</v>
      </c>
    </row>
    <row r="13" customFormat="false" ht="15.75" hidden="false" customHeight="true" outlineLevel="0" collapsed="false">
      <c r="A13" s="257" t="s">
        <v>150</v>
      </c>
      <c r="B13" s="253"/>
      <c r="C13" s="258" t="n">
        <v>-61</v>
      </c>
      <c r="D13" s="258" t="n">
        <v>-63</v>
      </c>
      <c r="E13" s="258" t="n">
        <v>-65</v>
      </c>
      <c r="F13" s="258" t="n">
        <v>-67</v>
      </c>
      <c r="G13" s="258" t="n">
        <v>-69</v>
      </c>
      <c r="H13" s="258" t="n">
        <v>-71</v>
      </c>
      <c r="I13" s="258" t="n">
        <v>-73</v>
      </c>
      <c r="J13" s="258" t="n">
        <v>-75</v>
      </c>
      <c r="K13" s="258" t="n">
        <v>-77</v>
      </c>
      <c r="L13" s="258" t="n">
        <v>-79</v>
      </c>
      <c r="M13" s="258" t="n">
        <v>-81</v>
      </c>
      <c r="N13" s="259" t="n">
        <v>-83</v>
      </c>
      <c r="O13" s="258" t="n">
        <v>-94</v>
      </c>
      <c r="P13" s="258" t="n">
        <v>-110</v>
      </c>
      <c r="Q13" s="259" t="n">
        <v>-126</v>
      </c>
      <c r="R13" s="258" t="n">
        <v>-103.7</v>
      </c>
      <c r="S13" s="258" t="n">
        <v>-112.7</v>
      </c>
      <c r="T13" s="258" t="n">
        <v>-121.7</v>
      </c>
      <c r="U13" s="258" t="n">
        <v>-130.7</v>
      </c>
      <c r="V13" s="258" t="n">
        <v>-139.7</v>
      </c>
      <c r="W13" s="258" t="n">
        <v>-148.7</v>
      </c>
      <c r="X13" s="258" t="n">
        <v>-157.8</v>
      </c>
      <c r="Y13" s="258" t="n">
        <v>-166.8</v>
      </c>
      <c r="Z13" s="258" t="n">
        <v>-175.9</v>
      </c>
    </row>
    <row r="14" customFormat="false" ht="4.5" hidden="false" customHeight="true" outlineLevel="0" collapsed="false">
      <c r="A14" s="260"/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261"/>
      <c r="O14" s="261"/>
      <c r="P14" s="261"/>
      <c r="Q14" s="261"/>
      <c r="R14" s="261"/>
      <c r="S14" s="261"/>
      <c r="T14" s="261"/>
      <c r="U14" s="261"/>
      <c r="V14" s="261"/>
      <c r="W14" s="261"/>
      <c r="X14" s="261"/>
      <c r="Y14" s="261"/>
      <c r="Z14" s="261"/>
    </row>
    <row r="15" customFormat="false" ht="15.75" hidden="false" customHeight="true" outlineLevel="0" collapsed="false">
      <c r="A15" s="262" t="s">
        <v>151</v>
      </c>
      <c r="B15" s="263"/>
      <c r="C15" s="264" t="n">
        <f aca="false">SUM(C10:C13)</f>
        <v>536</v>
      </c>
      <c r="D15" s="264" t="n">
        <f aca="false">SUM(D10:D13)</f>
        <v>537</v>
      </c>
      <c r="E15" s="264" t="n">
        <f aca="false">SUM(E10:E13)</f>
        <v>537</v>
      </c>
      <c r="F15" s="264" t="n">
        <f aca="false">SUM(F10:F13)</f>
        <v>479</v>
      </c>
      <c r="G15" s="264" t="n">
        <f aca="false">SUM(G10:G13)</f>
        <v>480</v>
      </c>
      <c r="H15" s="264" t="n">
        <f aca="false">SUM(H10:H13)</f>
        <v>480</v>
      </c>
      <c r="I15" s="264" t="n">
        <f aca="false">SUM(I10:I13)</f>
        <v>480</v>
      </c>
      <c r="J15" s="264" t="n">
        <f aca="false">SUM(J10:J13)</f>
        <v>480</v>
      </c>
      <c r="K15" s="264" t="n">
        <f aca="false">SUM(K10:K13)</f>
        <v>480</v>
      </c>
      <c r="L15" s="264" t="n">
        <f aca="false">SUM(L10:L13)</f>
        <v>479</v>
      </c>
      <c r="M15" s="264" t="n">
        <f aca="false">SUM(M10:M13)</f>
        <v>479</v>
      </c>
      <c r="N15" s="265" t="n">
        <f aca="false">SUM(N10:N13)</f>
        <v>480</v>
      </c>
      <c r="O15" s="264" t="n">
        <f aca="false">SUM(O10:O13)</f>
        <v>1547</v>
      </c>
      <c r="P15" s="264" t="n">
        <f aca="false">SUM(P10:P13)</f>
        <v>1546</v>
      </c>
      <c r="Q15" s="265" t="n">
        <f aca="false">SUM(Q10:Q13)</f>
        <v>1547</v>
      </c>
      <c r="R15" s="264" t="n">
        <f aca="false">SUM(R10:R13)</f>
        <v>2559.3</v>
      </c>
      <c r="S15" s="264" t="n">
        <f aca="false">SUM(S10:S13)</f>
        <v>2564.4</v>
      </c>
      <c r="T15" s="264" t="n">
        <f aca="false">SUM(T10:T13)</f>
        <v>2569.5</v>
      </c>
      <c r="U15" s="264" t="n">
        <f aca="false">SUM(U10:U13)</f>
        <v>2574.6</v>
      </c>
      <c r="V15" s="264" t="n">
        <f aca="false">SUM(V10:V13)</f>
        <v>2579.8</v>
      </c>
      <c r="W15" s="264" t="n">
        <f aca="false">SUM(W10:W13)</f>
        <v>2585</v>
      </c>
      <c r="X15" s="264" t="n">
        <f aca="false">SUM(X10:X13)</f>
        <v>2590.1</v>
      </c>
      <c r="Y15" s="264" t="n">
        <f aca="false">SUM(Y10:Y13)</f>
        <v>2595.3</v>
      </c>
      <c r="Z15" s="264" t="n">
        <f aca="false">SUM(Z10:Z13)</f>
        <v>2600.5</v>
      </c>
    </row>
    <row r="16" customFormat="false" ht="15.75" hidden="false" customHeight="true" outlineLevel="0" collapsed="false">
      <c r="A16" s="257" t="s">
        <v>73</v>
      </c>
      <c r="B16" s="266"/>
      <c r="C16" s="258" t="n">
        <f aca="false">C8+C15</f>
        <v>19613</v>
      </c>
      <c r="D16" s="258" t="n">
        <f aca="false">D8+D15</f>
        <v>20151</v>
      </c>
      <c r="E16" s="258" t="n">
        <f aca="false">E8+E15</f>
        <v>20688</v>
      </c>
      <c r="F16" s="258" t="n">
        <f aca="false">F8+F15</f>
        <v>21167</v>
      </c>
      <c r="G16" s="258" t="n">
        <f aca="false">G8+G15</f>
        <v>21647</v>
      </c>
      <c r="H16" s="258" t="n">
        <f aca="false">H8+H15</f>
        <v>22126</v>
      </c>
      <c r="I16" s="258" t="n">
        <f aca="false">I8+I15</f>
        <v>22605</v>
      </c>
      <c r="J16" s="258" t="n">
        <f aca="false">J8+J15</f>
        <v>23084</v>
      </c>
      <c r="K16" s="258" t="n">
        <f aca="false">K8+K15</f>
        <v>23564</v>
      </c>
      <c r="L16" s="258" t="n">
        <f aca="false">L8+L15</f>
        <v>24042</v>
      </c>
      <c r="M16" s="258" t="n">
        <f aca="false">M8+M15</f>
        <v>24521</v>
      </c>
      <c r="N16" s="259" t="n">
        <f aca="false">N8+N15</f>
        <v>25001</v>
      </c>
      <c r="O16" s="258" t="n">
        <f aca="false">O8+O15</f>
        <v>26547</v>
      </c>
      <c r="P16" s="258" t="n">
        <f aca="false">P8+P15</f>
        <v>28093</v>
      </c>
      <c r="Q16" s="259" t="n">
        <f aca="false">Q8+Q15</f>
        <v>29640</v>
      </c>
      <c r="R16" s="258" t="n">
        <f aca="false">R8+R15</f>
        <v>32199.3</v>
      </c>
      <c r="S16" s="258" t="n">
        <f aca="false">S8+S15</f>
        <v>34763.7</v>
      </c>
      <c r="T16" s="258" t="n">
        <f aca="false">T8+T15</f>
        <v>37333.2</v>
      </c>
      <c r="U16" s="258" t="n">
        <f aca="false">U8+U15</f>
        <v>39907.8</v>
      </c>
      <c r="V16" s="258" t="n">
        <f aca="false">V8+V15</f>
        <v>42487.7</v>
      </c>
      <c r="W16" s="258" t="n">
        <f aca="false">W8+W15</f>
        <v>45072.7</v>
      </c>
      <c r="X16" s="258" t="n">
        <f aca="false">X8+X15</f>
        <v>47662.8</v>
      </c>
      <c r="Y16" s="258" t="n">
        <f aca="false">Y8+Y15</f>
        <v>50258.1</v>
      </c>
      <c r="Z16" s="258" t="n">
        <f aca="false">Z8+Z15</f>
        <v>52858.6</v>
      </c>
    </row>
    <row r="17" customFormat="false" ht="9.75" hidden="false" customHeight="true" outlineLevel="0" collapsed="false">
      <c r="A17" s="267"/>
      <c r="B17" s="267"/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M17" s="267"/>
      <c r="N17" s="267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</row>
    <row r="18" customFormat="false" ht="18" hidden="false" customHeight="true" outlineLevel="0" collapsed="false">
      <c r="A18" s="268" t="s">
        <v>285</v>
      </c>
      <c r="B18" s="268"/>
      <c r="C18" s="268"/>
      <c r="D18" s="268"/>
      <c r="E18" s="268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</row>
    <row r="19" customFormat="false" ht="15.75" hidden="false" customHeight="true" outlineLevel="0" collapsed="false">
      <c r="A19" s="257" t="s">
        <v>155</v>
      </c>
      <c r="B19" s="269"/>
      <c r="C19" s="270" t="n">
        <f aca="false">(C8+C12+C13)/C8</f>
        <v>0.99517743880065</v>
      </c>
      <c r="D19" s="270" t="n">
        <f aca="false">(D8+D12+D13)/D8</f>
        <v>0.995156520852452</v>
      </c>
      <c r="E19" s="270" t="n">
        <f aca="false">(E8+E12+E13)/E8</f>
        <v>0.995136717780755</v>
      </c>
      <c r="F19" s="270" t="n">
        <f aca="false">(F8+F12+F13)/F8</f>
        <v>0.995117942768755</v>
      </c>
      <c r="G19" s="270" t="n">
        <f aca="false">(G8+G12+G13)/G8</f>
        <v>0.995133934898663</v>
      </c>
      <c r="H19" s="270" t="n">
        <f aca="false">(H8+H12+H13)/H8</f>
        <v>0.995103021343435</v>
      </c>
      <c r="I19" s="270" t="n">
        <f aca="false">(I8+I12+I13)/I8</f>
        <v>0.995073446327684</v>
      </c>
      <c r="J19" s="270" t="n">
        <f aca="false">(J8+J12+J13)/J8</f>
        <v>0.99504512475668</v>
      </c>
      <c r="K19" s="270" t="n">
        <f aca="false">(K8+K12+K13)/K8</f>
        <v>0.995018194420378</v>
      </c>
      <c r="L19" s="270" t="n">
        <f aca="false">(L8+L12+L13)/L8</f>
        <v>0.99499214870772</v>
      </c>
      <c r="M19" s="270" t="n">
        <f aca="false">(M8+M12+M13)/M8</f>
        <v>0.994967140836869</v>
      </c>
      <c r="N19" s="271" t="n">
        <f aca="false">(N8+N12+N13)/N8</f>
        <v>0.994943109987358</v>
      </c>
      <c r="O19" s="270" t="n">
        <f aca="false">(O8+O12+O13)/O8</f>
        <v>0.99456</v>
      </c>
      <c r="P19" s="270" t="n">
        <f aca="false">(P8+P12+P13)/P8</f>
        <v>0.994161298828493</v>
      </c>
      <c r="Q19" s="271" t="n">
        <f aca="false">(Q8+Q12+Q13)/Q8</f>
        <v>0.993806286263482</v>
      </c>
      <c r="R19" s="270" t="n">
        <f aca="false">(R8+R12+R13)/R8</f>
        <v>0.995</v>
      </c>
      <c r="S19" s="270" t="n">
        <f aca="false">(S8+S12+S13)/S8</f>
        <v>0.994999891301985</v>
      </c>
      <c r="T19" s="270" t="n">
        <f aca="false">(T8+T12+T13)/T8</f>
        <v>0.995000532164298</v>
      </c>
      <c r="U19" s="270" t="n">
        <f aca="false">(U8+U12+U13)/U8</f>
        <v>0.994999089282462</v>
      </c>
      <c r="V19" s="270" t="n">
        <f aca="false">(V8+V12+V13)/V8</f>
        <v>0.994998484009432</v>
      </c>
      <c r="W19" s="270" t="n">
        <f aca="false">(W8+W12+W13)/W8</f>
        <v>0.995000906144602</v>
      </c>
      <c r="X19" s="270" t="n">
        <f aca="false">(X8+X12+X13)/X8</f>
        <v>0.99499919019717</v>
      </c>
      <c r="Y19" s="270" t="n">
        <f aca="false">(Y8+Y12+Y13)/Y8</f>
        <v>0.995000293730121</v>
      </c>
      <c r="Z19" s="270" t="n">
        <f aca="false">(Z8+Z12+Z13)/Z8</f>
        <v>0.994999810975743</v>
      </c>
    </row>
    <row r="20" customFormat="false" ht="15.75" hidden="false" customHeight="true" outlineLevel="0" collapsed="false">
      <c r="A20" s="257" t="s">
        <v>156</v>
      </c>
      <c r="B20" s="269"/>
      <c r="C20" s="270" t="n">
        <f aca="false">(C8+C11+C12+C13)/C8</f>
        <v>1.00115322115637</v>
      </c>
      <c r="D20" s="270" t="n">
        <f aca="false">(D8+D11+D12+D13)/D8</f>
        <v>1.00117263179362</v>
      </c>
      <c r="E20" s="270" t="n">
        <f aca="false">(E8+E11+E12+E13)/E8</f>
        <v>1.00114138256166</v>
      </c>
      <c r="F20" s="270" t="n">
        <f aca="false">(F8+F11+F12+F13)/F8</f>
        <v>1.00111175560712</v>
      </c>
      <c r="G20" s="270" t="n">
        <f aca="false">(G8+G11+G12+G13)/G8</f>
        <v>1.00113384041196</v>
      </c>
      <c r="H20" s="270" t="n">
        <f aca="false">(H8+H11+H12+H13)/H8</f>
        <v>1.00110874988451</v>
      </c>
      <c r="I20" s="270" t="n">
        <f aca="false">(I8+I11+I12+I13)/I8</f>
        <v>1.00108474576271</v>
      </c>
      <c r="J20" s="270" t="n">
        <f aca="false">(J8+J11+J12+J13)/J8</f>
        <v>1.00106175898071</v>
      </c>
      <c r="K20" s="270" t="n">
        <f aca="false">(K8+K11+K12+K13)/K8</f>
        <v>1.00103968116444</v>
      </c>
      <c r="L20" s="270" t="n">
        <f aca="false">(L8+L11+L12+L13)/L8</f>
        <v>1.00097610660782</v>
      </c>
      <c r="M20" s="270" t="n">
        <f aca="false">(M8+M11+M12+M13)/M8</f>
        <v>1.00095665917977</v>
      </c>
      <c r="N20" s="271" t="n">
        <f aca="false">(N8+N11+N12+N13)/N8</f>
        <v>1.0009379715346</v>
      </c>
      <c r="O20" s="270" t="n">
        <f aca="false">(O8+O11+O12+O13)/O8</f>
        <v>1.00056</v>
      </c>
      <c r="P20" s="270" t="n">
        <f aca="false">(P8+P11+P12+P13)/P8</f>
        <v>1.00015067615926</v>
      </c>
      <c r="Q20" s="271" t="n">
        <f aca="false">(Q8+Q11+Q12+Q13)/Q8</f>
        <v>0.999822019720215</v>
      </c>
      <c r="R20" s="270" t="n">
        <f aca="false">(R8+R11+R12+R13)/R8</f>
        <v>1.00200067476383</v>
      </c>
      <c r="S20" s="270" t="n">
        <f aca="false">(S8+S11+S12+S13)/S8</f>
        <v>1.00200004347921</v>
      </c>
      <c r="T20" s="270" t="n">
        <f aca="false">(T8+T11+T12+T13)/T8</f>
        <v>1.00199921182153</v>
      </c>
      <c r="U20" s="270" t="n">
        <f aca="false">(U8+U11+U12+U13)/U8</f>
        <v>1.00199822142222</v>
      </c>
      <c r="V20" s="270" t="n">
        <f aca="false">(V8+V11+V12+V13)/V8</f>
        <v>1.00199960408841</v>
      </c>
      <c r="W20" s="270" t="n">
        <f aca="false">(W8+W11+W12+W13)/W8</f>
        <v>1.0020005789911</v>
      </c>
      <c r="X20" s="270" t="n">
        <f aca="false">(X8+X11+X12+X13)/X8</f>
        <v>1.0019989927384</v>
      </c>
      <c r="Y20" s="270" t="n">
        <f aca="false">(Y8+Y11+Y12+Y13)/Y8</f>
        <v>1.00199946289349</v>
      </c>
      <c r="Z20" s="270" t="n">
        <f aca="false">(Z8+Z11+Z12+Z13)/Z8</f>
        <v>1.0019996776639</v>
      </c>
    </row>
    <row r="21" customFormat="false" ht="15.75" hidden="false" customHeight="true" outlineLevel="0" collapsed="false">
      <c r="A21" s="272" t="s">
        <v>286</v>
      </c>
      <c r="B21" s="269"/>
      <c r="C21" s="273" t="n">
        <f aca="false">C15/C8</f>
        <v>0.0280966609005609</v>
      </c>
      <c r="D21" s="273" t="n">
        <f aca="false">D15/D8</f>
        <v>0.027378403181401</v>
      </c>
      <c r="E21" s="273" t="n">
        <f aca="false">E15/E8</f>
        <v>0.0266488015483103</v>
      </c>
      <c r="F21" s="273" t="n">
        <f aca="false">F15/F8</f>
        <v>0.0231535189481825</v>
      </c>
      <c r="G21" s="273" t="n">
        <f aca="false">G15/G8</f>
        <v>0.0226768082392403</v>
      </c>
      <c r="H21" s="273" t="n">
        <f aca="false">H15/H8</f>
        <v>0.0221749976901044</v>
      </c>
      <c r="I21" s="273" t="n">
        <f aca="false">I15/I8</f>
        <v>0.0216949152542373</v>
      </c>
      <c r="J21" s="273" t="n">
        <f aca="false">J15/J8</f>
        <v>0.0212351796142276</v>
      </c>
      <c r="K21" s="273" t="n">
        <f aca="false">K15/K8</f>
        <v>0.0207936232888581</v>
      </c>
      <c r="L21" s="273" t="n">
        <f aca="false">L15/L8</f>
        <v>0.0203284810932394</v>
      </c>
      <c r="M21" s="273" t="n">
        <f aca="false">M15/M8</f>
        <v>0.0199234672656185</v>
      </c>
      <c r="N21" s="274" t="n">
        <f aca="false">N15/N8</f>
        <v>0.0195750581134538</v>
      </c>
      <c r="O21" s="273" t="n">
        <f aca="false">O15/O8</f>
        <v>0.06188</v>
      </c>
      <c r="P21" s="273" t="n">
        <f aca="false">P15/P8</f>
        <v>0.0582363355558067</v>
      </c>
      <c r="Q21" s="274" t="n">
        <f aca="false">Q15/Q8</f>
        <v>0.0550670985654789</v>
      </c>
      <c r="R21" s="273" t="n">
        <f aca="false">R15/R8</f>
        <v>0.0863461538461539</v>
      </c>
      <c r="S21" s="273" t="n">
        <f aca="false">S15/S8</f>
        <v>0.0796414828893796</v>
      </c>
      <c r="T21" s="273" t="n">
        <f aca="false">T15/T8</f>
        <v>0.0739133061210401</v>
      </c>
      <c r="U21" s="273" t="n">
        <f aca="false">U15/U8</f>
        <v>0.0689627462955225</v>
      </c>
      <c r="V21" s="273" t="n">
        <f aca="false">V15/V8</f>
        <v>0.0646438424472348</v>
      </c>
      <c r="W21" s="273" t="n">
        <f aca="false">W15/W8</f>
        <v>0.0608411375527506</v>
      </c>
      <c r="X21" s="273" t="n">
        <f aca="false">X15/X8</f>
        <v>0.0574649399747519</v>
      </c>
      <c r="Y21" s="273" t="n">
        <f aca="false">Y15/Y8</f>
        <v>0.0544512701729651</v>
      </c>
      <c r="Z21" s="273" t="n">
        <f aca="false">Z15/Z8</f>
        <v>0.0517429031340222</v>
      </c>
    </row>
    <row r="22" customFormat="false" ht="7.5" hidden="false" customHeight="true" outlineLevel="0" collapsed="false"/>
    <row r="23" customFormat="false" ht="15" hidden="false" customHeight="true" outlineLevel="0" collapsed="false">
      <c r="A23" s="275" t="s">
        <v>287</v>
      </c>
      <c r="B23" s="275"/>
      <c r="C23" s="275"/>
      <c r="D23" s="275"/>
      <c r="E23" s="275"/>
      <c r="F23" s="275"/>
      <c r="G23" s="275"/>
      <c r="H23" s="275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5"/>
    </row>
  </sheetData>
  <mergeCells count="7">
    <mergeCell ref="A2:Z2"/>
    <mergeCell ref="A3:Z3"/>
    <mergeCell ref="C5:N5"/>
    <mergeCell ref="O5:Q5"/>
    <mergeCell ref="R5:Z5"/>
    <mergeCell ref="A18:Z18"/>
    <mergeCell ref="A23:Z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8" activeCellId="0" sqref="A8"/>
    </sheetView>
  </sheetViews>
  <sheetFormatPr defaultColWidth="8.71484375" defaultRowHeight="15" zeroHeight="false" outlineLevelRow="0" outlineLevelCol="0"/>
  <cols>
    <col collapsed="false" customWidth="true" hidden="false" outlineLevel="0" max="1" min="1" style="32" width="5"/>
    <col collapsed="false" customWidth="true" hidden="false" outlineLevel="0" max="2" min="2" style="32" width="48.71"/>
    <col collapsed="false" customWidth="true" hidden="false" outlineLevel="0" max="3" min="3" style="32" width="37.71"/>
    <col collapsed="false" customWidth="true" hidden="false" outlineLevel="0" max="4" min="4" style="32" width="25.29"/>
    <col collapsed="false" customWidth="true" hidden="false" outlineLevel="0" max="5" min="5" style="32" width="16"/>
    <col collapsed="false" customWidth="true" hidden="false" outlineLevel="0" max="6" min="6" style="32" width="18"/>
    <col collapsed="false" customWidth="true" hidden="false" outlineLevel="0" max="7" min="7" style="32" width="28"/>
    <col collapsed="false" customWidth="true" hidden="false" outlineLevel="0" max="8" min="8" style="32" width="0.57"/>
  </cols>
  <sheetData>
    <row r="1" customFormat="false" ht="15" hidden="false" customHeight="true" outlineLevel="0" collapsed="false">
      <c r="A1" s="2"/>
      <c r="B1" s="7" t="s">
        <v>288</v>
      </c>
      <c r="C1" s="2"/>
      <c r="D1" s="2"/>
      <c r="E1" s="2"/>
      <c r="F1" s="2"/>
      <c r="G1" s="2"/>
      <c r="H1" s="2"/>
      <c r="I1" s="2"/>
      <c r="J1" s="2"/>
    </row>
    <row r="2" customFormat="false" ht="9.75" hidden="false" customHeight="true" outlineLevel="0" collapsed="false">
      <c r="A2" s="2"/>
      <c r="B2" s="3" t="s">
        <v>289</v>
      </c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2"/>
      <c r="B3" s="5" t="s">
        <v>290</v>
      </c>
      <c r="C3" s="2"/>
      <c r="D3" s="2"/>
      <c r="E3" s="2"/>
      <c r="F3" s="2"/>
      <c r="G3" s="2"/>
      <c r="H3" s="2"/>
      <c r="I3" s="2"/>
      <c r="J3" s="2"/>
    </row>
    <row r="4" customFormat="false" ht="13.5" hidden="false" customHeight="true" outlineLevel="0" collapsed="false">
      <c r="A4" s="2"/>
      <c r="B4" s="276" t="s">
        <v>291</v>
      </c>
      <c r="C4" s="276"/>
      <c r="D4" s="276"/>
      <c r="E4" s="276"/>
      <c r="F4" s="276"/>
      <c r="G4" s="276"/>
      <c r="H4" s="2"/>
      <c r="I4" s="2"/>
      <c r="J4" s="2"/>
    </row>
    <row r="5" customFormat="false" ht="15.7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</row>
    <row r="6" customFormat="false" ht="15.75" hidden="false" customHeight="true" outlineLevel="0" collapsed="false">
      <c r="A6" s="277" t="s">
        <v>292</v>
      </c>
      <c r="B6" s="277"/>
      <c r="C6" s="277"/>
      <c r="D6" s="277"/>
      <c r="E6" s="277"/>
      <c r="F6" s="277"/>
      <c r="G6" s="277"/>
      <c r="H6" s="2"/>
      <c r="I6" s="2"/>
      <c r="J6" s="2"/>
    </row>
    <row r="7" customFormat="false" ht="13.5" hidden="false" customHeight="true" outlineLevel="0" collapsed="false">
      <c r="A7" s="278" t="s">
        <v>293</v>
      </c>
      <c r="B7" s="278" t="s">
        <v>203</v>
      </c>
      <c r="C7" s="278" t="s">
        <v>294</v>
      </c>
      <c r="D7" s="278" t="s">
        <v>295</v>
      </c>
      <c r="E7" s="279" t="s">
        <v>296</v>
      </c>
      <c r="F7" s="279" t="s">
        <v>297</v>
      </c>
      <c r="G7" s="279" t="s">
        <v>298</v>
      </c>
      <c r="H7" s="2"/>
      <c r="I7" s="2"/>
      <c r="J7" s="2"/>
    </row>
    <row r="8" customFormat="false" ht="27.75" hidden="false" customHeight="true" outlineLevel="0" collapsed="false">
      <c r="A8" s="280" t="s">
        <v>299</v>
      </c>
      <c r="B8" s="281" t="s">
        <v>300</v>
      </c>
      <c r="C8" s="282" t="s">
        <v>301</v>
      </c>
      <c r="D8" s="16" t="s">
        <v>302</v>
      </c>
      <c r="E8" s="283" t="n">
        <v>14200000</v>
      </c>
      <c r="F8" s="284"/>
      <c r="G8" s="285" t="s">
        <v>303</v>
      </c>
      <c r="H8" s="2"/>
      <c r="I8" s="2"/>
      <c r="J8" s="2"/>
    </row>
    <row r="9" customFormat="false" ht="6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</row>
    <row r="10" customFormat="false" ht="15.75" hidden="false" customHeight="true" outlineLevel="0" collapsed="false">
      <c r="A10" s="277" t="s">
        <v>304</v>
      </c>
      <c r="B10" s="277"/>
      <c r="C10" s="277"/>
      <c r="D10" s="277"/>
      <c r="E10" s="277"/>
      <c r="F10" s="277"/>
      <c r="G10" s="277"/>
      <c r="H10" s="2"/>
      <c r="I10" s="2"/>
      <c r="J10" s="2"/>
    </row>
    <row r="11" customFormat="false" ht="13.5" hidden="false" customHeight="true" outlineLevel="0" collapsed="false">
      <c r="A11" s="278" t="s">
        <v>293</v>
      </c>
      <c r="B11" s="278" t="s">
        <v>305</v>
      </c>
      <c r="C11" s="286" t="s">
        <v>294</v>
      </c>
      <c r="D11" s="278" t="s">
        <v>306</v>
      </c>
      <c r="E11" s="279" t="s">
        <v>296</v>
      </c>
      <c r="F11" s="279" t="s">
        <v>307</v>
      </c>
      <c r="G11" s="279" t="s">
        <v>308</v>
      </c>
      <c r="H11" s="2"/>
      <c r="I11" s="2"/>
      <c r="J11" s="2"/>
    </row>
    <row r="12" customFormat="false" ht="27.75" hidden="false" customHeight="true" outlineLevel="0" collapsed="false">
      <c r="A12" s="280" t="n">
        <v>1</v>
      </c>
      <c r="B12" s="281" t="s">
        <v>309</v>
      </c>
      <c r="C12" s="282" t="s">
        <v>310</v>
      </c>
      <c r="D12" s="16" t="s">
        <v>311</v>
      </c>
      <c r="E12" s="283"/>
      <c r="F12" s="284"/>
      <c r="G12" s="285"/>
      <c r="H12" s="2"/>
      <c r="I12" s="2"/>
      <c r="J12" s="2"/>
    </row>
    <row r="13" customFormat="false" ht="27.75" hidden="false" customHeight="true" outlineLevel="0" collapsed="false">
      <c r="A13" s="287" t="n">
        <v>2</v>
      </c>
      <c r="B13" s="288" t="s">
        <v>312</v>
      </c>
      <c r="C13" s="289" t="s">
        <v>313</v>
      </c>
      <c r="D13" s="290" t="s">
        <v>314</v>
      </c>
      <c r="E13" s="283"/>
      <c r="F13" s="284"/>
      <c r="G13" s="285"/>
      <c r="H13" s="2"/>
      <c r="I13" s="2"/>
      <c r="J13" s="2"/>
    </row>
    <row r="14" customFormat="false" ht="27.75" hidden="false" customHeight="true" outlineLevel="0" collapsed="false">
      <c r="A14" s="280" t="n">
        <v>3</v>
      </c>
      <c r="B14" s="281" t="s">
        <v>315</v>
      </c>
      <c r="C14" s="282" t="s">
        <v>316</v>
      </c>
      <c r="D14" s="16" t="s">
        <v>317</v>
      </c>
      <c r="E14" s="283"/>
      <c r="F14" s="284"/>
      <c r="G14" s="285"/>
      <c r="H14" s="2"/>
      <c r="I14" s="2"/>
      <c r="J14" s="2"/>
    </row>
    <row r="15" customFormat="false" ht="27.75" hidden="false" customHeight="true" outlineLevel="0" collapsed="false">
      <c r="A15" s="287" t="n">
        <v>4</v>
      </c>
      <c r="B15" s="288" t="s">
        <v>318</v>
      </c>
      <c r="C15" s="289" t="s">
        <v>319</v>
      </c>
      <c r="D15" s="290" t="s">
        <v>320</v>
      </c>
      <c r="E15" s="283"/>
      <c r="F15" s="284"/>
      <c r="G15" s="285"/>
      <c r="H15" s="2"/>
      <c r="I15" s="2"/>
      <c r="J15" s="2"/>
    </row>
    <row r="16" customFormat="false" ht="27.75" hidden="false" customHeight="true" outlineLevel="0" collapsed="false">
      <c r="A16" s="280" t="n">
        <v>5</v>
      </c>
      <c r="B16" s="281" t="s">
        <v>321</v>
      </c>
      <c r="C16" s="282" t="s">
        <v>322</v>
      </c>
      <c r="D16" s="16" t="s">
        <v>323</v>
      </c>
      <c r="E16" s="283"/>
      <c r="F16" s="284"/>
      <c r="G16" s="285"/>
      <c r="H16" s="2"/>
      <c r="I16" s="2"/>
      <c r="J16" s="2"/>
    </row>
    <row r="17" customFormat="false" ht="27.75" hidden="false" customHeight="true" outlineLevel="0" collapsed="false">
      <c r="A17" s="287" t="n">
        <v>6</v>
      </c>
      <c r="B17" s="288" t="s">
        <v>324</v>
      </c>
      <c r="C17" s="289" t="s">
        <v>325</v>
      </c>
      <c r="D17" s="290" t="s">
        <v>326</v>
      </c>
      <c r="E17" s="283"/>
      <c r="F17" s="284"/>
      <c r="G17" s="285"/>
      <c r="H17" s="2"/>
      <c r="I17" s="2"/>
      <c r="J17" s="2"/>
    </row>
    <row r="18" customFormat="false" ht="27.75" hidden="false" customHeight="true" outlineLevel="0" collapsed="false">
      <c r="A18" s="280" t="n">
        <v>7</v>
      </c>
      <c r="B18" s="281" t="s">
        <v>327</v>
      </c>
      <c r="C18" s="282" t="s">
        <v>328</v>
      </c>
      <c r="D18" s="16" t="s">
        <v>329</v>
      </c>
      <c r="E18" s="283"/>
      <c r="F18" s="284"/>
      <c r="G18" s="285"/>
      <c r="H18" s="2"/>
      <c r="I18" s="2"/>
      <c r="J18" s="2"/>
    </row>
    <row r="19" customFormat="false" ht="27.75" hidden="false" customHeight="true" outlineLevel="0" collapsed="false">
      <c r="A19" s="287" t="n">
        <v>8</v>
      </c>
      <c r="B19" s="288" t="s">
        <v>330</v>
      </c>
      <c r="C19" s="289" t="s">
        <v>331</v>
      </c>
      <c r="D19" s="290" t="s">
        <v>332</v>
      </c>
      <c r="E19" s="283"/>
      <c r="F19" s="284"/>
      <c r="G19" s="285" t="s">
        <v>333</v>
      </c>
      <c r="H19" s="2"/>
      <c r="I19" s="2"/>
      <c r="J19" s="2"/>
    </row>
    <row r="20" customFormat="false" ht="27.75" hidden="false" customHeight="true" outlineLevel="0" collapsed="false">
      <c r="A20" s="280" t="n">
        <v>9</v>
      </c>
      <c r="B20" s="281" t="s">
        <v>334</v>
      </c>
      <c r="C20" s="282" t="s">
        <v>335</v>
      </c>
      <c r="D20" s="16" t="s">
        <v>336</v>
      </c>
      <c r="E20" s="283"/>
      <c r="F20" s="284"/>
      <c r="G20" s="285" t="s">
        <v>333</v>
      </c>
      <c r="H20" s="2"/>
      <c r="I20" s="2"/>
      <c r="J20" s="2"/>
    </row>
    <row r="21" customFormat="false" ht="27.75" hidden="false" customHeight="true" outlineLevel="0" collapsed="false">
      <c r="A21" s="287" t="n">
        <v>10</v>
      </c>
      <c r="B21" s="288" t="s">
        <v>337</v>
      </c>
      <c r="C21" s="289" t="s">
        <v>338</v>
      </c>
      <c r="D21" s="290" t="s">
        <v>338</v>
      </c>
      <c r="E21" s="283"/>
      <c r="F21" s="284"/>
      <c r="G21" s="285"/>
      <c r="H21" s="2"/>
      <c r="I21" s="2"/>
      <c r="J21" s="2"/>
    </row>
    <row r="22" customFormat="false" ht="27.75" hidden="false" customHeight="true" outlineLevel="0" collapsed="false">
      <c r="A22" s="280" t="n">
        <v>11</v>
      </c>
      <c r="B22" s="281" t="s">
        <v>339</v>
      </c>
      <c r="C22" s="282" t="s">
        <v>340</v>
      </c>
      <c r="D22" s="16" t="s">
        <v>340</v>
      </c>
      <c r="E22" s="283"/>
      <c r="F22" s="284"/>
      <c r="G22" s="285"/>
      <c r="H22" s="2"/>
      <c r="I22" s="2"/>
      <c r="J22" s="2"/>
    </row>
    <row r="23" customFormat="false" ht="27.75" hidden="false" customHeight="true" outlineLevel="0" collapsed="false">
      <c r="A23" s="287" t="n">
        <v>12</v>
      </c>
      <c r="B23" s="288" t="s">
        <v>341</v>
      </c>
      <c r="C23" s="289" t="s">
        <v>342</v>
      </c>
      <c r="D23" s="290" t="s">
        <v>343</v>
      </c>
      <c r="E23" s="283"/>
      <c r="F23" s="284"/>
      <c r="G23" s="285"/>
      <c r="H23" s="2"/>
      <c r="I23" s="2"/>
      <c r="J23" s="2"/>
    </row>
    <row r="24" customFormat="false" ht="6" hidden="false" customHeight="true" outlineLevel="0" collapsed="false">
      <c r="A24" s="291" t="n">
        <v>13</v>
      </c>
      <c r="B24" s="292" t="s">
        <v>344</v>
      </c>
      <c r="C24" s="293" t="s">
        <v>345</v>
      </c>
      <c r="D24" s="294" t="s">
        <v>346</v>
      </c>
      <c r="E24" s="295"/>
      <c r="F24" s="296"/>
      <c r="G24" s="297"/>
    </row>
    <row r="25" customFormat="false" ht="15.75" hidden="false" customHeight="true" outlineLevel="0" collapsed="false">
      <c r="A25" s="298" t="n">
        <v>14</v>
      </c>
      <c r="B25" s="299" t="s">
        <v>347</v>
      </c>
      <c r="C25" s="300" t="s">
        <v>348</v>
      </c>
      <c r="D25" s="300" t="s">
        <v>349</v>
      </c>
    </row>
    <row r="26" customFormat="false" ht="13.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customFormat="false" ht="27.75" hidden="false" customHeight="true" outlineLevel="0" collapsed="false">
      <c r="A27" s="277" t="s">
        <v>350</v>
      </c>
      <c r="B27" s="277"/>
      <c r="C27" s="277"/>
      <c r="D27" s="277"/>
      <c r="E27" s="277"/>
      <c r="F27" s="277"/>
      <c r="G27" s="277"/>
      <c r="H27" s="2"/>
      <c r="I27" s="2"/>
      <c r="J27" s="2"/>
    </row>
    <row r="28" customFormat="false" ht="27.75" hidden="false" customHeight="true" outlineLevel="0" collapsed="false">
      <c r="A28" s="278" t="s">
        <v>293</v>
      </c>
      <c r="B28" s="278" t="s">
        <v>305</v>
      </c>
      <c r="C28" s="278" t="s">
        <v>351</v>
      </c>
      <c r="D28" s="278" t="s">
        <v>352</v>
      </c>
      <c r="E28" s="279" t="s">
        <v>353</v>
      </c>
      <c r="F28" s="279" t="s">
        <v>297</v>
      </c>
      <c r="G28" s="279" t="s">
        <v>298</v>
      </c>
      <c r="H28" s="2"/>
      <c r="I28" s="2"/>
      <c r="J28" s="2"/>
    </row>
    <row r="29" customFormat="false" ht="27.75" hidden="false" customHeight="true" outlineLevel="0" collapsed="false">
      <c r="A29" s="280" t="s">
        <v>354</v>
      </c>
      <c r="B29" s="281" t="s">
        <v>355</v>
      </c>
      <c r="C29" s="16" t="s">
        <v>356</v>
      </c>
      <c r="D29" s="282" t="s">
        <v>357</v>
      </c>
      <c r="E29" s="301" t="s">
        <v>358</v>
      </c>
      <c r="F29" s="302"/>
      <c r="G29" s="302"/>
      <c r="H29" s="2"/>
      <c r="I29" s="2"/>
      <c r="J29" s="2"/>
    </row>
    <row r="30" customFormat="false" ht="27.75" hidden="false" customHeight="true" outlineLevel="0" collapsed="false">
      <c r="A30" s="287" t="s">
        <v>359</v>
      </c>
      <c r="B30" s="288" t="s">
        <v>360</v>
      </c>
      <c r="C30" s="290" t="s">
        <v>361</v>
      </c>
      <c r="D30" s="289" t="s">
        <v>362</v>
      </c>
      <c r="E30" s="301" t="s">
        <v>358</v>
      </c>
      <c r="F30" s="302"/>
      <c r="G30" s="302"/>
      <c r="H30" s="2"/>
      <c r="I30" s="2"/>
      <c r="J30" s="2"/>
    </row>
    <row r="31" customFormat="false" ht="27.75" hidden="false" customHeight="true" outlineLevel="0" collapsed="false">
      <c r="A31" s="280" t="s">
        <v>363</v>
      </c>
      <c r="B31" s="281" t="s">
        <v>364</v>
      </c>
      <c r="C31" s="16" t="s">
        <v>365</v>
      </c>
      <c r="D31" s="282" t="s">
        <v>366</v>
      </c>
      <c r="E31" s="301" t="s">
        <v>358</v>
      </c>
      <c r="F31" s="302"/>
      <c r="G31" s="302"/>
      <c r="H31" s="2"/>
      <c r="I31" s="2"/>
      <c r="J31" s="2"/>
    </row>
    <row r="32" customFormat="false" ht="27.75" hidden="false" customHeight="true" outlineLevel="0" collapsed="false">
      <c r="A32" s="287" t="s">
        <v>367</v>
      </c>
      <c r="B32" s="288" t="s">
        <v>368</v>
      </c>
      <c r="C32" s="290" t="s">
        <v>369</v>
      </c>
      <c r="D32" s="289" t="s">
        <v>370</v>
      </c>
      <c r="E32" s="301" t="s">
        <v>358</v>
      </c>
      <c r="F32" s="302"/>
      <c r="G32" s="302"/>
      <c r="H32" s="2"/>
      <c r="I32" s="2"/>
      <c r="J32" s="2"/>
    </row>
    <row r="33" customFormat="false" ht="6" hidden="false" customHeight="true" outlineLevel="0" collapsed="false">
      <c r="A33" s="280" t="s">
        <v>371</v>
      </c>
      <c r="B33" s="281" t="s">
        <v>372</v>
      </c>
      <c r="C33" s="16" t="s">
        <v>373</v>
      </c>
      <c r="D33" s="282" t="s">
        <v>374</v>
      </c>
      <c r="E33" s="301" t="s">
        <v>358</v>
      </c>
      <c r="F33" s="302"/>
      <c r="G33" s="302"/>
      <c r="H33" s="2"/>
      <c r="I33" s="2"/>
      <c r="J33" s="2"/>
    </row>
    <row r="34" customFormat="false" ht="15.75" hidden="false" customHeight="true" outlineLevel="0" collapsed="false">
      <c r="A34" s="303" t="s">
        <v>375</v>
      </c>
      <c r="B34" s="299" t="s">
        <v>376</v>
      </c>
      <c r="C34" s="300" t="s">
        <v>377</v>
      </c>
      <c r="D34" s="300" t="s">
        <v>378</v>
      </c>
      <c r="E34" s="300" t="s">
        <v>358</v>
      </c>
      <c r="H34" s="2"/>
      <c r="I34" s="2"/>
      <c r="J34" s="2"/>
    </row>
    <row r="35" customFormat="false" ht="13.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27.75" hidden="false" customHeight="true" outlineLevel="0" collapsed="false">
      <c r="A36" s="277" t="s">
        <v>379</v>
      </c>
      <c r="B36" s="277"/>
      <c r="C36" s="277"/>
      <c r="D36" s="277"/>
      <c r="E36" s="277"/>
      <c r="F36" s="277"/>
      <c r="G36" s="277"/>
      <c r="H36" s="2"/>
      <c r="I36" s="2"/>
      <c r="J36" s="2"/>
    </row>
    <row r="37" customFormat="false" ht="27.75" hidden="false" customHeight="true" outlineLevel="0" collapsed="false">
      <c r="A37" s="278" t="s">
        <v>293</v>
      </c>
      <c r="B37" s="278" t="s">
        <v>380</v>
      </c>
      <c r="C37" s="278" t="s">
        <v>381</v>
      </c>
      <c r="D37" s="278" t="s">
        <v>382</v>
      </c>
      <c r="E37" s="279" t="s">
        <v>383</v>
      </c>
      <c r="F37" s="279" t="s">
        <v>384</v>
      </c>
      <c r="G37" s="279" t="s">
        <v>298</v>
      </c>
      <c r="H37" s="2"/>
      <c r="I37" s="2"/>
      <c r="J37" s="2"/>
    </row>
    <row r="38" customFormat="false" ht="27.75" hidden="false" customHeight="true" outlineLevel="0" collapsed="false">
      <c r="A38" s="280" t="n">
        <v>1</v>
      </c>
      <c r="B38" s="281" t="s">
        <v>385</v>
      </c>
      <c r="C38" s="16" t="s">
        <v>386</v>
      </c>
      <c r="D38" s="282" t="s">
        <v>387</v>
      </c>
      <c r="E38" s="304"/>
      <c r="F38" s="302" t="s">
        <v>388</v>
      </c>
      <c r="G38" s="302"/>
      <c r="H38" s="2"/>
      <c r="I38" s="2"/>
      <c r="J38" s="2"/>
    </row>
    <row r="39" customFormat="false" ht="27.75" hidden="false" customHeight="true" outlineLevel="0" collapsed="false">
      <c r="A39" s="280" t="n">
        <v>2</v>
      </c>
      <c r="B39" s="281" t="s">
        <v>389</v>
      </c>
      <c r="C39" s="16" t="s">
        <v>390</v>
      </c>
      <c r="D39" s="282" t="s">
        <v>391</v>
      </c>
      <c r="E39" s="304"/>
      <c r="F39" s="302" t="s">
        <v>388</v>
      </c>
      <c r="G39" s="302"/>
      <c r="H39" s="2"/>
      <c r="I39" s="2"/>
      <c r="J39" s="2"/>
    </row>
    <row r="40" customFormat="false" ht="15" hidden="false" customHeight="true" outlineLevel="0" collapsed="false">
      <c r="A40" s="280" t="n">
        <v>3</v>
      </c>
      <c r="B40" s="281" t="s">
        <v>392</v>
      </c>
      <c r="C40" s="16" t="s">
        <v>393</v>
      </c>
      <c r="D40" s="282" t="s">
        <v>394</v>
      </c>
      <c r="E40" s="304"/>
      <c r="F40" s="302" t="s">
        <v>395</v>
      </c>
      <c r="G40" s="302"/>
      <c r="H40" s="2"/>
      <c r="I40" s="2"/>
      <c r="J40" s="2"/>
    </row>
    <row r="41" customFormat="false" ht="9.75" hidden="false" customHeight="true" outlineLevel="0" collapsed="false">
      <c r="A41" s="280" t="n">
        <v>4</v>
      </c>
      <c r="B41" s="305" t="s">
        <v>396</v>
      </c>
      <c r="C41" s="306" t="s">
        <v>397</v>
      </c>
      <c r="D41" s="307" t="s">
        <v>398</v>
      </c>
      <c r="E41" s="308"/>
      <c r="F41" s="296" t="s">
        <v>395</v>
      </c>
      <c r="G41" s="296"/>
      <c r="H41" s="2"/>
      <c r="I41" s="2"/>
      <c r="J41" s="2"/>
    </row>
    <row r="42" customFormat="false" ht="15" hidden="false" customHeight="true" outlineLevel="0" collapsed="false">
      <c r="A42" s="309"/>
      <c r="B42" s="216"/>
      <c r="C42" s="10"/>
      <c r="D42" s="310"/>
      <c r="E42" s="304"/>
      <c r="F42" s="302"/>
      <c r="G42" s="302"/>
      <c r="H42" s="2"/>
      <c r="I42" s="2"/>
      <c r="J42" s="2"/>
    </row>
    <row r="43" customFormat="false" ht="15" hidden="false" customHeight="true" outlineLevel="0" collapsed="false">
      <c r="A43" s="127" t="s">
        <v>399</v>
      </c>
      <c r="B43" s="127"/>
      <c r="C43" s="127"/>
      <c r="D43" s="127"/>
      <c r="E43" s="127"/>
      <c r="F43" s="127"/>
      <c r="G43" s="127"/>
      <c r="H43" s="2"/>
      <c r="I43" s="2"/>
      <c r="J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</sheetData>
  <mergeCells count="6">
    <mergeCell ref="B4:G4"/>
    <mergeCell ref="A6:G6"/>
    <mergeCell ref="A10:G10"/>
    <mergeCell ref="A27:G27"/>
    <mergeCell ref="A36:G36"/>
    <mergeCell ref="A43:G43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544A"/>
    <pageSetUpPr fitToPage="false"/>
  </sheetPr>
  <dimension ref="A1:N15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71484375" defaultRowHeight="15" zeroHeight="false" outlineLevelRow="0" outlineLevelCol="0"/>
  <cols>
    <col collapsed="false" customWidth="true" hidden="false" outlineLevel="0" max="1" min="1" style="32" width="5"/>
    <col collapsed="false" customWidth="true" hidden="false" outlineLevel="0" max="2" min="2" style="32" width="22"/>
    <col collapsed="false" customWidth="true" hidden="false" outlineLevel="0" max="3" min="3" style="32" width="20"/>
    <col collapsed="false" customWidth="true" hidden="false" outlineLevel="0" max="4" min="4" style="32" width="8"/>
    <col collapsed="false" customWidth="true" hidden="false" outlineLevel="0" max="5" min="5" style="32" width="28"/>
    <col collapsed="false" customWidth="true" hidden="false" outlineLevel="0" max="6" min="6" style="32" width="12"/>
    <col collapsed="false" customWidth="true" hidden="false" outlineLevel="0" max="7" min="7" style="32" width="14"/>
    <col collapsed="false" customWidth="true" hidden="false" outlineLevel="0" max="8" min="8" style="32" width="10"/>
    <col collapsed="false" customWidth="true" hidden="false" outlineLevel="0" max="10" min="9" style="32" width="12"/>
    <col collapsed="false" customWidth="true" hidden="false" outlineLevel="0" max="11" min="11" style="32" width="10"/>
    <col collapsed="false" customWidth="true" hidden="false" outlineLevel="0" max="14" min="12" style="311" width="18"/>
  </cols>
  <sheetData>
    <row r="1" customFormat="false" ht="18" hidden="false" customHeight="true" outlineLevel="0" collapsed="false">
      <c r="A1" s="312" t="s">
        <v>400</v>
      </c>
      <c r="B1" s="312" t="s">
        <v>401</v>
      </c>
      <c r="C1" s="312" t="s">
        <v>402</v>
      </c>
      <c r="D1" s="312" t="s">
        <v>403</v>
      </c>
      <c r="E1" s="312" t="s">
        <v>404</v>
      </c>
      <c r="F1" s="312" t="s">
        <v>405</v>
      </c>
      <c r="G1" s="312" t="s">
        <v>406</v>
      </c>
      <c r="H1" s="312" t="s">
        <v>205</v>
      </c>
      <c r="I1" s="312" t="s">
        <v>407</v>
      </c>
      <c r="J1" s="312" t="s">
        <v>408</v>
      </c>
      <c r="K1" s="312" t="s">
        <v>409</v>
      </c>
      <c r="L1" s="313" t="s">
        <v>410</v>
      </c>
      <c r="M1" s="314" t="s">
        <v>411</v>
      </c>
      <c r="N1" s="314" t="s">
        <v>412</v>
      </c>
    </row>
    <row r="2" customFormat="false" ht="15" hidden="false" customHeight="true" outlineLevel="0" collapsed="false">
      <c r="A2" s="315" t="n">
        <v>1</v>
      </c>
      <c r="B2" s="216" t="s">
        <v>413</v>
      </c>
      <c r="C2" s="216" t="s">
        <v>414</v>
      </c>
      <c r="D2" s="216" t="s">
        <v>415</v>
      </c>
      <c r="E2" s="216" t="s">
        <v>416</v>
      </c>
      <c r="F2" s="216" t="s">
        <v>417</v>
      </c>
      <c r="G2" s="216" t="s">
        <v>418</v>
      </c>
      <c r="H2" s="216" t="s">
        <v>419</v>
      </c>
      <c r="I2" s="316" t="n">
        <v>45658</v>
      </c>
      <c r="J2" s="315" t="s">
        <v>420</v>
      </c>
      <c r="K2" s="315" t="s">
        <v>421</v>
      </c>
      <c r="L2" s="317" t="n">
        <v>116000</v>
      </c>
      <c r="M2" s="317" t="n">
        <v>29000</v>
      </c>
      <c r="N2" s="317" t="n">
        <f aca="false">L2+IF(M2="",0,M2)</f>
        <v>145000</v>
      </c>
    </row>
    <row r="3" customFormat="false" ht="15" hidden="false" customHeight="true" outlineLevel="0" collapsed="false">
      <c r="A3" s="315" t="n">
        <v>2</v>
      </c>
      <c r="B3" s="216" t="s">
        <v>422</v>
      </c>
      <c r="C3" s="216" t="s">
        <v>414</v>
      </c>
      <c r="D3" s="216" t="s">
        <v>415</v>
      </c>
      <c r="E3" s="216" t="s">
        <v>423</v>
      </c>
      <c r="F3" s="216" t="s">
        <v>417</v>
      </c>
      <c r="G3" s="216" t="s">
        <v>418</v>
      </c>
      <c r="H3" s="216" t="s">
        <v>419</v>
      </c>
      <c r="I3" s="316" t="n">
        <v>45658</v>
      </c>
      <c r="J3" s="315" t="s">
        <v>420</v>
      </c>
      <c r="K3" s="315" t="s">
        <v>421</v>
      </c>
      <c r="L3" s="317" t="n">
        <v>86000</v>
      </c>
      <c r="M3" s="317" t="n">
        <v>21500</v>
      </c>
      <c r="N3" s="317" t="n">
        <f aca="false">L3+IF(M3="",0,M3)</f>
        <v>107500</v>
      </c>
    </row>
    <row r="4" customFormat="false" ht="15" hidden="false" customHeight="true" outlineLevel="0" collapsed="false">
      <c r="A4" s="315" t="n">
        <v>3</v>
      </c>
      <c r="B4" s="216" t="s">
        <v>424</v>
      </c>
      <c r="C4" s="216" t="s">
        <v>414</v>
      </c>
      <c r="D4" s="216" t="s">
        <v>415</v>
      </c>
      <c r="E4" s="216" t="s">
        <v>425</v>
      </c>
      <c r="F4" s="216" t="s">
        <v>417</v>
      </c>
      <c r="G4" s="216" t="s">
        <v>426</v>
      </c>
      <c r="H4" s="216" t="s">
        <v>419</v>
      </c>
      <c r="I4" s="316" t="n">
        <v>45658</v>
      </c>
      <c r="J4" s="315" t="s">
        <v>420</v>
      </c>
      <c r="K4" s="315" t="s">
        <v>421</v>
      </c>
      <c r="L4" s="317" t="n">
        <v>123000</v>
      </c>
      <c r="M4" s="317" t="n">
        <v>30750</v>
      </c>
      <c r="N4" s="317" t="n">
        <f aca="false">L4+IF(M4="",0,M4)</f>
        <v>153750</v>
      </c>
    </row>
    <row r="5" customFormat="false" ht="15" hidden="false" customHeight="true" outlineLevel="0" collapsed="false">
      <c r="A5" s="315" t="n">
        <v>4</v>
      </c>
      <c r="B5" s="216" t="s">
        <v>427</v>
      </c>
      <c r="C5" s="216" t="s">
        <v>414</v>
      </c>
      <c r="D5" s="216" t="s">
        <v>415</v>
      </c>
      <c r="E5" s="216" t="s">
        <v>428</v>
      </c>
      <c r="F5" s="216" t="s">
        <v>417</v>
      </c>
      <c r="G5" s="216" t="s">
        <v>418</v>
      </c>
      <c r="H5" s="216" t="s">
        <v>419</v>
      </c>
      <c r="I5" s="316" t="n">
        <v>45658</v>
      </c>
      <c r="J5" s="315" t="s">
        <v>420</v>
      </c>
      <c r="K5" s="315" t="s">
        <v>421</v>
      </c>
      <c r="L5" s="317" t="n">
        <v>168000</v>
      </c>
      <c r="M5" s="317" t="n">
        <v>42000</v>
      </c>
      <c r="N5" s="317" t="n">
        <f aca="false">L5+IF(M5="",0,M5)</f>
        <v>210000</v>
      </c>
    </row>
    <row r="6" customFormat="false" ht="15" hidden="false" customHeight="true" outlineLevel="0" collapsed="false">
      <c r="A6" s="315" t="n">
        <v>5</v>
      </c>
      <c r="B6" s="216" t="s">
        <v>429</v>
      </c>
      <c r="C6" s="216" t="s">
        <v>414</v>
      </c>
      <c r="D6" s="216" t="s">
        <v>415</v>
      </c>
      <c r="E6" s="216" t="s">
        <v>416</v>
      </c>
      <c r="F6" s="216" t="s">
        <v>417</v>
      </c>
      <c r="G6" s="216" t="s">
        <v>418</v>
      </c>
      <c r="H6" s="216" t="s">
        <v>419</v>
      </c>
      <c r="I6" s="316" t="n">
        <v>45658</v>
      </c>
      <c r="J6" s="315" t="s">
        <v>420</v>
      </c>
      <c r="K6" s="315" t="s">
        <v>421</v>
      </c>
      <c r="L6" s="317" t="n">
        <v>113000</v>
      </c>
      <c r="M6" s="317" t="n">
        <v>28250</v>
      </c>
      <c r="N6" s="317" t="n">
        <f aca="false">L6+IF(M6="",0,M6)</f>
        <v>141250</v>
      </c>
    </row>
    <row r="7" customFormat="false" ht="15" hidden="false" customHeight="true" outlineLevel="0" collapsed="false">
      <c r="A7" s="315" t="n">
        <v>6</v>
      </c>
      <c r="B7" s="216" t="s">
        <v>430</v>
      </c>
      <c r="C7" s="216" t="s">
        <v>414</v>
      </c>
      <c r="D7" s="216" t="s">
        <v>415</v>
      </c>
      <c r="E7" s="216" t="s">
        <v>431</v>
      </c>
      <c r="F7" s="216" t="s">
        <v>417</v>
      </c>
      <c r="G7" s="216" t="s">
        <v>418</v>
      </c>
      <c r="H7" s="216" t="s">
        <v>419</v>
      </c>
      <c r="I7" s="316" t="n">
        <v>45658</v>
      </c>
      <c r="J7" s="315" t="s">
        <v>420</v>
      </c>
      <c r="K7" s="315" t="s">
        <v>421</v>
      </c>
      <c r="L7" s="317" t="n">
        <v>207000</v>
      </c>
      <c r="M7" s="317" t="n">
        <v>51750</v>
      </c>
      <c r="N7" s="317" t="n">
        <f aca="false">L7+IF(M7="",0,M7)</f>
        <v>258750</v>
      </c>
    </row>
    <row r="8" customFormat="false" ht="15" hidden="false" customHeight="true" outlineLevel="0" collapsed="false">
      <c r="A8" s="315" t="n">
        <v>7</v>
      </c>
      <c r="B8" s="216" t="s">
        <v>432</v>
      </c>
      <c r="C8" s="216" t="s">
        <v>414</v>
      </c>
      <c r="D8" s="216" t="s">
        <v>415</v>
      </c>
      <c r="E8" s="216" t="s">
        <v>423</v>
      </c>
      <c r="F8" s="216" t="s">
        <v>417</v>
      </c>
      <c r="G8" s="216" t="s">
        <v>418</v>
      </c>
      <c r="H8" s="216" t="s">
        <v>419</v>
      </c>
      <c r="I8" s="316" t="n">
        <v>45658</v>
      </c>
      <c r="J8" s="315" t="s">
        <v>420</v>
      </c>
      <c r="K8" s="315" t="s">
        <v>421</v>
      </c>
      <c r="L8" s="317" t="n">
        <v>81000</v>
      </c>
      <c r="M8" s="317" t="n">
        <v>20250</v>
      </c>
      <c r="N8" s="317" t="n">
        <f aca="false">L8+IF(M8="",0,M8)</f>
        <v>101250</v>
      </c>
    </row>
    <row r="9" customFormat="false" ht="15" hidden="false" customHeight="true" outlineLevel="0" collapsed="false">
      <c r="A9" s="315" t="n">
        <v>8</v>
      </c>
      <c r="B9" s="216" t="s">
        <v>433</v>
      </c>
      <c r="C9" s="216" t="s">
        <v>414</v>
      </c>
      <c r="D9" s="216" t="s">
        <v>415</v>
      </c>
      <c r="E9" s="216" t="s">
        <v>425</v>
      </c>
      <c r="F9" s="216" t="s">
        <v>417</v>
      </c>
      <c r="G9" s="216" t="s">
        <v>426</v>
      </c>
      <c r="H9" s="216" t="s">
        <v>419</v>
      </c>
      <c r="I9" s="316" t="n">
        <v>45658</v>
      </c>
      <c r="J9" s="315" t="s">
        <v>420</v>
      </c>
      <c r="K9" s="315" t="s">
        <v>421</v>
      </c>
      <c r="L9" s="317" t="n">
        <v>124000</v>
      </c>
      <c r="M9" s="317" t="n">
        <v>31000</v>
      </c>
      <c r="N9" s="317" t="n">
        <f aca="false">L9+IF(M9="",0,M9)</f>
        <v>155000</v>
      </c>
    </row>
    <row r="10" customFormat="false" ht="15" hidden="false" customHeight="true" outlineLevel="0" collapsed="false">
      <c r="A10" s="315" t="n">
        <v>9</v>
      </c>
      <c r="B10" s="216" t="s">
        <v>434</v>
      </c>
      <c r="C10" s="216" t="s">
        <v>414</v>
      </c>
      <c r="D10" s="216" t="s">
        <v>415</v>
      </c>
      <c r="E10" s="216" t="s">
        <v>416</v>
      </c>
      <c r="F10" s="216" t="s">
        <v>417</v>
      </c>
      <c r="G10" s="216" t="s">
        <v>418</v>
      </c>
      <c r="H10" s="216" t="s">
        <v>419</v>
      </c>
      <c r="I10" s="316" t="n">
        <v>45658</v>
      </c>
      <c r="J10" s="315" t="s">
        <v>420</v>
      </c>
      <c r="K10" s="315" t="s">
        <v>421</v>
      </c>
      <c r="L10" s="317" t="n">
        <v>110000</v>
      </c>
      <c r="M10" s="317" t="n">
        <v>27500</v>
      </c>
      <c r="N10" s="317" t="n">
        <f aca="false">L10+IF(M10="",0,M10)</f>
        <v>137500</v>
      </c>
    </row>
    <row r="11" customFormat="false" ht="15" hidden="false" customHeight="true" outlineLevel="0" collapsed="false">
      <c r="A11" s="315" t="n">
        <v>10</v>
      </c>
      <c r="B11" s="216" t="s">
        <v>435</v>
      </c>
      <c r="C11" s="216" t="s">
        <v>414</v>
      </c>
      <c r="D11" s="216" t="s">
        <v>415</v>
      </c>
      <c r="E11" s="216" t="s">
        <v>416</v>
      </c>
      <c r="F11" s="216" t="s">
        <v>417</v>
      </c>
      <c r="G11" s="216" t="s">
        <v>418</v>
      </c>
      <c r="H11" s="216" t="s">
        <v>419</v>
      </c>
      <c r="I11" s="316" t="n">
        <v>45658</v>
      </c>
      <c r="J11" s="315" t="s">
        <v>420</v>
      </c>
      <c r="K11" s="315" t="s">
        <v>421</v>
      </c>
      <c r="L11" s="317" t="n">
        <v>106000</v>
      </c>
      <c r="M11" s="317" t="n">
        <v>26500</v>
      </c>
      <c r="N11" s="317" t="n">
        <f aca="false">L11+IF(M11="",0,M11)</f>
        <v>132500</v>
      </c>
    </row>
    <row r="12" customFormat="false" ht="15" hidden="false" customHeight="true" outlineLevel="0" collapsed="false">
      <c r="A12" s="315" t="n">
        <v>11</v>
      </c>
      <c r="B12" s="216" t="s">
        <v>436</v>
      </c>
      <c r="C12" s="216" t="s">
        <v>414</v>
      </c>
      <c r="D12" s="216" t="s">
        <v>415</v>
      </c>
      <c r="E12" s="216" t="s">
        <v>416</v>
      </c>
      <c r="F12" s="216" t="s">
        <v>417</v>
      </c>
      <c r="G12" s="216" t="s">
        <v>418</v>
      </c>
      <c r="H12" s="216" t="s">
        <v>419</v>
      </c>
      <c r="I12" s="316" t="n">
        <v>45658</v>
      </c>
      <c r="J12" s="315" t="s">
        <v>420</v>
      </c>
      <c r="K12" s="315" t="s">
        <v>421</v>
      </c>
      <c r="L12" s="317" t="n">
        <v>104000</v>
      </c>
      <c r="M12" s="317" t="n">
        <v>26000</v>
      </c>
      <c r="N12" s="317" t="n">
        <f aca="false">L12+IF(M12="",0,M12)</f>
        <v>130000</v>
      </c>
    </row>
    <row r="13" customFormat="false" ht="15" hidden="false" customHeight="true" outlineLevel="0" collapsed="false">
      <c r="A13" s="315" t="n">
        <v>12</v>
      </c>
      <c r="B13" s="216" t="s">
        <v>437</v>
      </c>
      <c r="C13" s="216" t="s">
        <v>414</v>
      </c>
      <c r="D13" s="216" t="s">
        <v>415</v>
      </c>
      <c r="E13" s="216" t="s">
        <v>425</v>
      </c>
      <c r="F13" s="216" t="s">
        <v>417</v>
      </c>
      <c r="G13" s="216" t="s">
        <v>426</v>
      </c>
      <c r="H13" s="216" t="s">
        <v>419</v>
      </c>
      <c r="I13" s="316" t="n">
        <v>45658</v>
      </c>
      <c r="J13" s="315" t="s">
        <v>420</v>
      </c>
      <c r="K13" s="315" t="s">
        <v>421</v>
      </c>
      <c r="L13" s="317" t="n">
        <v>127000</v>
      </c>
      <c r="M13" s="317" t="n">
        <v>31750</v>
      </c>
      <c r="N13" s="317" t="n">
        <f aca="false">L13+IF(M13="",0,M13)</f>
        <v>158750</v>
      </c>
    </row>
    <row r="14" customFormat="false" ht="15" hidden="false" customHeight="true" outlineLevel="0" collapsed="false">
      <c r="A14" s="315" t="n">
        <v>13</v>
      </c>
      <c r="B14" s="216" t="s">
        <v>438</v>
      </c>
      <c r="C14" s="216" t="s">
        <v>414</v>
      </c>
      <c r="D14" s="216" t="s">
        <v>415</v>
      </c>
      <c r="E14" s="216" t="s">
        <v>416</v>
      </c>
      <c r="F14" s="216" t="s">
        <v>417</v>
      </c>
      <c r="G14" s="216" t="s">
        <v>418</v>
      </c>
      <c r="H14" s="216" t="s">
        <v>419</v>
      </c>
      <c r="I14" s="316" t="n">
        <v>45658</v>
      </c>
      <c r="J14" s="315" t="s">
        <v>420</v>
      </c>
      <c r="K14" s="315" t="s">
        <v>421</v>
      </c>
      <c r="L14" s="317" t="n">
        <v>114000</v>
      </c>
      <c r="M14" s="317" t="n">
        <v>28500</v>
      </c>
      <c r="N14" s="317" t="n">
        <f aca="false">L14+IF(M14="",0,M14)</f>
        <v>142500</v>
      </c>
    </row>
    <row r="15" customFormat="false" ht="15" hidden="false" customHeight="true" outlineLevel="0" collapsed="false">
      <c r="A15" s="315" t="n">
        <v>14</v>
      </c>
      <c r="B15" s="216" t="s">
        <v>439</v>
      </c>
      <c r="C15" s="216" t="s">
        <v>268</v>
      </c>
      <c r="D15" s="216" t="s">
        <v>415</v>
      </c>
      <c r="E15" s="216" t="s">
        <v>440</v>
      </c>
      <c r="F15" s="216" t="s">
        <v>417</v>
      </c>
      <c r="G15" s="216"/>
      <c r="H15" s="216" t="s">
        <v>419</v>
      </c>
      <c r="I15" s="316" t="n">
        <v>45658</v>
      </c>
      <c r="J15" s="315" t="s">
        <v>420</v>
      </c>
      <c r="K15" s="315" t="s">
        <v>421</v>
      </c>
      <c r="L15" s="317" t="n">
        <v>125000</v>
      </c>
      <c r="M15" s="317"/>
      <c r="N15" s="317" t="n">
        <f aca="false">L15+IF(M15="",0,M15)</f>
        <v>125000</v>
      </c>
    </row>
    <row r="16" customFormat="false" ht="15" hidden="false" customHeight="true" outlineLevel="0" collapsed="false">
      <c r="A16" s="315" t="n">
        <v>15</v>
      </c>
      <c r="B16" s="216" t="s">
        <v>441</v>
      </c>
      <c r="C16" s="216" t="s">
        <v>268</v>
      </c>
      <c r="D16" s="216" t="s">
        <v>415</v>
      </c>
      <c r="E16" s="216" t="s">
        <v>442</v>
      </c>
      <c r="F16" s="216" t="s">
        <v>417</v>
      </c>
      <c r="G16" s="216"/>
      <c r="H16" s="216" t="s">
        <v>419</v>
      </c>
      <c r="I16" s="316" t="n">
        <v>45658</v>
      </c>
      <c r="J16" s="315" t="s">
        <v>420</v>
      </c>
      <c r="K16" s="315" t="s">
        <v>421</v>
      </c>
      <c r="L16" s="317" t="n">
        <v>98000</v>
      </c>
      <c r="M16" s="317"/>
      <c r="N16" s="317" t="n">
        <f aca="false">L16+IF(M16="",0,M16)</f>
        <v>98000</v>
      </c>
    </row>
    <row r="17" customFormat="false" ht="15" hidden="false" customHeight="true" outlineLevel="0" collapsed="false">
      <c r="A17" s="315" t="n">
        <v>16</v>
      </c>
      <c r="B17" s="216" t="s">
        <v>443</v>
      </c>
      <c r="C17" s="216" t="s">
        <v>268</v>
      </c>
      <c r="D17" s="216" t="s">
        <v>415</v>
      </c>
      <c r="E17" s="216" t="s">
        <v>442</v>
      </c>
      <c r="F17" s="216" t="s">
        <v>417</v>
      </c>
      <c r="G17" s="216"/>
      <c r="H17" s="216" t="s">
        <v>419</v>
      </c>
      <c r="I17" s="316" t="n">
        <v>45658</v>
      </c>
      <c r="J17" s="315" t="s">
        <v>420</v>
      </c>
      <c r="K17" s="315" t="s">
        <v>421</v>
      </c>
      <c r="L17" s="317" t="n">
        <v>100000</v>
      </c>
      <c r="M17" s="317"/>
      <c r="N17" s="317" t="n">
        <f aca="false">L17+IF(M17="",0,M17)</f>
        <v>100000</v>
      </c>
    </row>
    <row r="18" customFormat="false" ht="15" hidden="false" customHeight="true" outlineLevel="0" collapsed="false">
      <c r="A18" s="315" t="n">
        <v>17</v>
      </c>
      <c r="B18" s="216" t="s">
        <v>444</v>
      </c>
      <c r="C18" s="216" t="s">
        <v>268</v>
      </c>
      <c r="D18" s="216" t="s">
        <v>415</v>
      </c>
      <c r="E18" s="216" t="s">
        <v>445</v>
      </c>
      <c r="F18" s="216" t="s">
        <v>417</v>
      </c>
      <c r="G18" s="216"/>
      <c r="H18" s="216" t="s">
        <v>419</v>
      </c>
      <c r="I18" s="316" t="n">
        <v>45658</v>
      </c>
      <c r="J18" s="315" t="s">
        <v>420</v>
      </c>
      <c r="K18" s="315" t="s">
        <v>421</v>
      </c>
      <c r="L18" s="317" t="n">
        <v>154000</v>
      </c>
      <c r="M18" s="317"/>
      <c r="N18" s="317" t="n">
        <f aca="false">L18+IF(M18="",0,M18)</f>
        <v>154000</v>
      </c>
    </row>
    <row r="19" customFormat="false" ht="15" hidden="false" customHeight="true" outlineLevel="0" collapsed="false">
      <c r="A19" s="315" t="n">
        <v>18</v>
      </c>
      <c r="B19" s="216" t="s">
        <v>446</v>
      </c>
      <c r="C19" s="216" t="s">
        <v>447</v>
      </c>
      <c r="D19" s="216" t="s">
        <v>415</v>
      </c>
      <c r="E19" s="216" t="s">
        <v>448</v>
      </c>
      <c r="F19" s="216" t="s">
        <v>417</v>
      </c>
      <c r="G19" s="216"/>
      <c r="H19" s="216" t="s">
        <v>419</v>
      </c>
      <c r="I19" s="316" t="n">
        <v>45658</v>
      </c>
      <c r="J19" s="315" t="s">
        <v>420</v>
      </c>
      <c r="K19" s="315" t="s">
        <v>421</v>
      </c>
      <c r="L19" s="317" t="n">
        <v>166000</v>
      </c>
      <c r="M19" s="317"/>
      <c r="N19" s="317" t="n">
        <f aca="false">L19+IF(M19="",0,M19)</f>
        <v>166000</v>
      </c>
    </row>
    <row r="20" customFormat="false" ht="15" hidden="false" customHeight="true" outlineLevel="0" collapsed="false">
      <c r="A20" s="315" t="n">
        <v>19</v>
      </c>
      <c r="B20" s="216" t="s">
        <v>449</v>
      </c>
      <c r="C20" s="216" t="s">
        <v>447</v>
      </c>
      <c r="D20" s="216" t="s">
        <v>415</v>
      </c>
      <c r="E20" s="216" t="s">
        <v>450</v>
      </c>
      <c r="F20" s="216" t="s">
        <v>417</v>
      </c>
      <c r="G20" s="216"/>
      <c r="H20" s="216" t="s">
        <v>419</v>
      </c>
      <c r="I20" s="316" t="n">
        <v>45658</v>
      </c>
      <c r="J20" s="315" t="s">
        <v>420</v>
      </c>
      <c r="K20" s="315" t="s">
        <v>421</v>
      </c>
      <c r="L20" s="317" t="n">
        <v>141000</v>
      </c>
      <c r="M20" s="317"/>
      <c r="N20" s="317" t="n">
        <f aca="false">L20+IF(M20="",0,M20)</f>
        <v>141000</v>
      </c>
    </row>
    <row r="21" customFormat="false" ht="15" hidden="false" customHeight="true" outlineLevel="0" collapsed="false">
      <c r="A21" s="315" t="n">
        <v>20</v>
      </c>
      <c r="B21" s="216" t="s">
        <v>451</v>
      </c>
      <c r="C21" s="216" t="s">
        <v>447</v>
      </c>
      <c r="D21" s="216" t="s">
        <v>415</v>
      </c>
      <c r="E21" s="216" t="s">
        <v>452</v>
      </c>
      <c r="F21" s="216" t="s">
        <v>417</v>
      </c>
      <c r="G21" s="216"/>
      <c r="H21" s="216" t="s">
        <v>419</v>
      </c>
      <c r="I21" s="316" t="n">
        <v>45658</v>
      </c>
      <c r="J21" s="315" t="s">
        <v>420</v>
      </c>
      <c r="K21" s="315" t="s">
        <v>421</v>
      </c>
      <c r="L21" s="317" t="n">
        <v>168000</v>
      </c>
      <c r="M21" s="317"/>
      <c r="N21" s="317" t="n">
        <f aca="false">L21+IF(M21="",0,M21)</f>
        <v>168000</v>
      </c>
    </row>
    <row r="22" customFormat="false" ht="15" hidden="false" customHeight="true" outlineLevel="0" collapsed="false">
      <c r="A22" s="315" t="n">
        <v>21</v>
      </c>
      <c r="B22" s="216" t="s">
        <v>453</v>
      </c>
      <c r="C22" s="216" t="s">
        <v>447</v>
      </c>
      <c r="D22" s="216" t="s">
        <v>415</v>
      </c>
      <c r="E22" s="216" t="s">
        <v>454</v>
      </c>
      <c r="F22" s="216" t="s">
        <v>417</v>
      </c>
      <c r="G22" s="216"/>
      <c r="H22" s="216" t="s">
        <v>419</v>
      </c>
      <c r="I22" s="316" t="n">
        <v>45658</v>
      </c>
      <c r="J22" s="315" t="s">
        <v>420</v>
      </c>
      <c r="K22" s="315" t="s">
        <v>421</v>
      </c>
      <c r="L22" s="317" t="n">
        <v>174000</v>
      </c>
      <c r="M22" s="317"/>
      <c r="N22" s="317" t="n">
        <f aca="false">L22+IF(M22="",0,M22)</f>
        <v>174000</v>
      </c>
    </row>
    <row r="23" customFormat="false" ht="15" hidden="false" customHeight="true" outlineLevel="0" collapsed="false">
      <c r="A23" s="315" t="n">
        <v>22</v>
      </c>
      <c r="B23" s="216" t="s">
        <v>455</v>
      </c>
      <c r="C23" s="216" t="s">
        <v>456</v>
      </c>
      <c r="D23" s="216" t="s">
        <v>415</v>
      </c>
      <c r="E23" s="216" t="s">
        <v>457</v>
      </c>
      <c r="F23" s="216" t="s">
        <v>126</v>
      </c>
      <c r="G23" s="216"/>
      <c r="H23" s="216" t="s">
        <v>419</v>
      </c>
      <c r="I23" s="316" t="n">
        <v>45658</v>
      </c>
      <c r="J23" s="315" t="s">
        <v>420</v>
      </c>
      <c r="K23" s="315" t="s">
        <v>421</v>
      </c>
      <c r="L23" s="317" t="n">
        <v>222000</v>
      </c>
      <c r="M23" s="317"/>
      <c r="N23" s="317" t="n">
        <f aca="false">L23+IF(M23="",0,M23)</f>
        <v>222000</v>
      </c>
    </row>
    <row r="24" customFormat="false" ht="15" hidden="false" customHeight="true" outlineLevel="0" collapsed="false">
      <c r="A24" s="315" t="n">
        <v>23</v>
      </c>
      <c r="B24" s="216" t="s">
        <v>458</v>
      </c>
      <c r="C24" s="216" t="s">
        <v>456</v>
      </c>
      <c r="D24" s="216" t="s">
        <v>415</v>
      </c>
      <c r="E24" s="216" t="s">
        <v>459</v>
      </c>
      <c r="F24" s="216" t="s">
        <v>126</v>
      </c>
      <c r="G24" s="216"/>
      <c r="H24" s="216" t="s">
        <v>419</v>
      </c>
      <c r="I24" s="316" t="n">
        <v>45658</v>
      </c>
      <c r="J24" s="315" t="s">
        <v>420</v>
      </c>
      <c r="K24" s="315" t="s">
        <v>421</v>
      </c>
      <c r="L24" s="317" t="n">
        <v>189000</v>
      </c>
      <c r="M24" s="317"/>
      <c r="N24" s="317" t="n">
        <f aca="false">L24+IF(M24="",0,M24)</f>
        <v>189000</v>
      </c>
    </row>
    <row r="25" customFormat="false" ht="15" hidden="false" customHeight="true" outlineLevel="0" collapsed="false">
      <c r="A25" s="315" t="n">
        <v>24</v>
      </c>
      <c r="B25" s="216" t="s">
        <v>460</v>
      </c>
      <c r="C25" s="216" t="s">
        <v>456</v>
      </c>
      <c r="D25" s="216" t="s">
        <v>415</v>
      </c>
      <c r="E25" s="216" t="s">
        <v>459</v>
      </c>
      <c r="F25" s="216" t="s">
        <v>126</v>
      </c>
      <c r="G25" s="216"/>
      <c r="H25" s="216" t="s">
        <v>419</v>
      </c>
      <c r="I25" s="316" t="n">
        <v>45658</v>
      </c>
      <c r="J25" s="315" t="s">
        <v>420</v>
      </c>
      <c r="K25" s="315" t="s">
        <v>421</v>
      </c>
      <c r="L25" s="317" t="n">
        <v>185000</v>
      </c>
      <c r="M25" s="317"/>
      <c r="N25" s="317" t="n">
        <f aca="false">L25+IF(M25="",0,M25)</f>
        <v>185000</v>
      </c>
    </row>
    <row r="26" customFormat="false" ht="15" hidden="false" customHeight="true" outlineLevel="0" collapsed="false">
      <c r="A26" s="315" t="n">
        <v>25</v>
      </c>
      <c r="B26" s="216" t="s">
        <v>461</v>
      </c>
      <c r="C26" s="216" t="s">
        <v>456</v>
      </c>
      <c r="D26" s="216" t="s">
        <v>415</v>
      </c>
      <c r="E26" s="216" t="s">
        <v>462</v>
      </c>
      <c r="F26" s="216" t="s">
        <v>126</v>
      </c>
      <c r="G26" s="216"/>
      <c r="H26" s="216" t="s">
        <v>419</v>
      </c>
      <c r="I26" s="316" t="n">
        <v>45658</v>
      </c>
      <c r="J26" s="315" t="s">
        <v>420</v>
      </c>
      <c r="K26" s="315" t="s">
        <v>421</v>
      </c>
      <c r="L26" s="317" t="n">
        <v>152000</v>
      </c>
      <c r="M26" s="317"/>
      <c r="N26" s="317" t="n">
        <f aca="false">L26+IF(M26="",0,M26)</f>
        <v>152000</v>
      </c>
    </row>
    <row r="27" customFormat="false" ht="15" hidden="false" customHeight="true" outlineLevel="0" collapsed="false">
      <c r="A27" s="315" t="n">
        <v>26</v>
      </c>
      <c r="B27" s="216" t="s">
        <v>463</v>
      </c>
      <c r="C27" s="216" t="s">
        <v>456</v>
      </c>
      <c r="D27" s="216" t="s">
        <v>415</v>
      </c>
      <c r="E27" s="216" t="s">
        <v>464</v>
      </c>
      <c r="F27" s="216" t="s">
        <v>126</v>
      </c>
      <c r="G27" s="216"/>
      <c r="H27" s="216" t="s">
        <v>419</v>
      </c>
      <c r="I27" s="316" t="n">
        <v>45658</v>
      </c>
      <c r="J27" s="315" t="s">
        <v>420</v>
      </c>
      <c r="K27" s="315" t="s">
        <v>421</v>
      </c>
      <c r="L27" s="317" t="n">
        <v>155000</v>
      </c>
      <c r="M27" s="317"/>
      <c r="N27" s="317" t="n">
        <f aca="false">L27+IF(M27="",0,M27)</f>
        <v>155000</v>
      </c>
    </row>
    <row r="28" customFormat="false" ht="15" hidden="false" customHeight="true" outlineLevel="0" collapsed="false">
      <c r="A28" s="315" t="n">
        <v>27</v>
      </c>
      <c r="B28" s="216" t="s">
        <v>465</v>
      </c>
      <c r="C28" s="216" t="s">
        <v>456</v>
      </c>
      <c r="D28" s="216" t="s">
        <v>415</v>
      </c>
      <c r="E28" s="216" t="s">
        <v>466</v>
      </c>
      <c r="F28" s="216" t="s">
        <v>126</v>
      </c>
      <c r="G28" s="216"/>
      <c r="H28" s="216" t="s">
        <v>419</v>
      </c>
      <c r="I28" s="316" t="n">
        <v>45658</v>
      </c>
      <c r="J28" s="315" t="s">
        <v>420</v>
      </c>
      <c r="K28" s="315" t="s">
        <v>421</v>
      </c>
      <c r="L28" s="317" t="n">
        <v>153000</v>
      </c>
      <c r="M28" s="317"/>
      <c r="N28" s="317" t="n">
        <f aca="false">L28+IF(M28="",0,M28)</f>
        <v>153000</v>
      </c>
    </row>
    <row r="29" customFormat="false" ht="15" hidden="false" customHeight="true" outlineLevel="0" collapsed="false">
      <c r="A29" s="315" t="n">
        <v>28</v>
      </c>
      <c r="B29" s="216" t="s">
        <v>467</v>
      </c>
      <c r="C29" s="216" t="s">
        <v>456</v>
      </c>
      <c r="D29" s="216" t="s">
        <v>415</v>
      </c>
      <c r="E29" s="216" t="s">
        <v>462</v>
      </c>
      <c r="F29" s="216" t="s">
        <v>126</v>
      </c>
      <c r="G29" s="216"/>
      <c r="H29" s="216" t="s">
        <v>419</v>
      </c>
      <c r="I29" s="316" t="n">
        <v>45658</v>
      </c>
      <c r="J29" s="315" t="s">
        <v>420</v>
      </c>
      <c r="K29" s="315" t="s">
        <v>421</v>
      </c>
      <c r="L29" s="317" t="n">
        <v>169000</v>
      </c>
      <c r="M29" s="317"/>
      <c r="N29" s="317" t="n">
        <f aca="false">L29+IF(M29="",0,M29)</f>
        <v>169000</v>
      </c>
    </row>
    <row r="30" customFormat="false" ht="15" hidden="false" customHeight="true" outlineLevel="0" collapsed="false">
      <c r="A30" s="315" t="n">
        <v>29</v>
      </c>
      <c r="B30" s="216" t="s">
        <v>468</v>
      </c>
      <c r="C30" s="216" t="s">
        <v>456</v>
      </c>
      <c r="D30" s="216" t="s">
        <v>415</v>
      </c>
      <c r="E30" s="216" t="s">
        <v>469</v>
      </c>
      <c r="F30" s="216" t="s">
        <v>126</v>
      </c>
      <c r="G30" s="216"/>
      <c r="H30" s="216" t="s">
        <v>419</v>
      </c>
      <c r="I30" s="316" t="n">
        <v>45658</v>
      </c>
      <c r="J30" s="315" t="s">
        <v>420</v>
      </c>
      <c r="K30" s="315" t="s">
        <v>421</v>
      </c>
      <c r="L30" s="317" t="n">
        <v>186000</v>
      </c>
      <c r="M30" s="317"/>
      <c r="N30" s="317" t="n">
        <f aca="false">L30+IF(M30="",0,M30)</f>
        <v>186000</v>
      </c>
    </row>
    <row r="31" customFormat="false" ht="15" hidden="false" customHeight="true" outlineLevel="0" collapsed="false">
      <c r="A31" s="315" t="n">
        <v>30</v>
      </c>
      <c r="B31" s="216" t="s">
        <v>470</v>
      </c>
      <c r="C31" s="216" t="s">
        <v>456</v>
      </c>
      <c r="D31" s="216" t="s">
        <v>415</v>
      </c>
      <c r="E31" s="216" t="s">
        <v>469</v>
      </c>
      <c r="F31" s="216" t="s">
        <v>126</v>
      </c>
      <c r="G31" s="216"/>
      <c r="H31" s="216" t="s">
        <v>419</v>
      </c>
      <c r="I31" s="316" t="n">
        <v>45658</v>
      </c>
      <c r="J31" s="315" t="s">
        <v>420</v>
      </c>
      <c r="K31" s="315" t="s">
        <v>421</v>
      </c>
      <c r="L31" s="317" t="n">
        <v>190000</v>
      </c>
      <c r="M31" s="317"/>
      <c r="N31" s="317" t="n">
        <f aca="false">L31+IF(M31="",0,M31)</f>
        <v>190000</v>
      </c>
    </row>
    <row r="32" customFormat="false" ht="15" hidden="false" customHeight="true" outlineLevel="0" collapsed="false">
      <c r="A32" s="315" t="n">
        <v>31</v>
      </c>
      <c r="B32" s="216" t="s">
        <v>471</v>
      </c>
      <c r="C32" s="216" t="s">
        <v>456</v>
      </c>
      <c r="D32" s="216" t="s">
        <v>415</v>
      </c>
      <c r="E32" s="216" t="s">
        <v>459</v>
      </c>
      <c r="F32" s="216" t="s">
        <v>126</v>
      </c>
      <c r="G32" s="216"/>
      <c r="H32" s="216" t="s">
        <v>419</v>
      </c>
      <c r="I32" s="316" t="n">
        <v>45658</v>
      </c>
      <c r="J32" s="315" t="s">
        <v>420</v>
      </c>
      <c r="K32" s="315" t="s">
        <v>421</v>
      </c>
      <c r="L32" s="317" t="n">
        <v>179000</v>
      </c>
      <c r="M32" s="317"/>
      <c r="N32" s="317" t="n">
        <f aca="false">L32+IF(M32="",0,M32)</f>
        <v>179000</v>
      </c>
    </row>
    <row r="33" customFormat="false" ht="15" hidden="false" customHeight="true" outlineLevel="0" collapsed="false">
      <c r="A33" s="315" t="n">
        <v>32</v>
      </c>
      <c r="B33" s="216" t="s">
        <v>472</v>
      </c>
      <c r="C33" s="216" t="s">
        <v>456</v>
      </c>
      <c r="D33" s="216" t="s">
        <v>415</v>
      </c>
      <c r="E33" s="216" t="s">
        <v>473</v>
      </c>
      <c r="F33" s="216" t="s">
        <v>126</v>
      </c>
      <c r="G33" s="216"/>
      <c r="H33" s="216" t="s">
        <v>419</v>
      </c>
      <c r="I33" s="316" t="n">
        <v>45658</v>
      </c>
      <c r="J33" s="315" t="s">
        <v>420</v>
      </c>
      <c r="K33" s="315" t="s">
        <v>421</v>
      </c>
      <c r="L33" s="317" t="n">
        <v>132000</v>
      </c>
      <c r="M33" s="317"/>
      <c r="N33" s="317" t="n">
        <f aca="false">L33+IF(M33="",0,M33)</f>
        <v>132000</v>
      </c>
    </row>
    <row r="34" customFormat="false" ht="15" hidden="false" customHeight="true" outlineLevel="0" collapsed="false">
      <c r="A34" s="315" t="n">
        <v>33</v>
      </c>
      <c r="B34" s="216" t="s">
        <v>474</v>
      </c>
      <c r="C34" s="216" t="s">
        <v>456</v>
      </c>
      <c r="D34" s="216" t="s">
        <v>415</v>
      </c>
      <c r="E34" s="216" t="s">
        <v>459</v>
      </c>
      <c r="F34" s="216" t="s">
        <v>126</v>
      </c>
      <c r="G34" s="216"/>
      <c r="H34" s="216" t="s">
        <v>419</v>
      </c>
      <c r="I34" s="316" t="n">
        <v>45658</v>
      </c>
      <c r="J34" s="315" t="s">
        <v>420</v>
      </c>
      <c r="K34" s="315" t="s">
        <v>421</v>
      </c>
      <c r="L34" s="317" t="n">
        <v>186000</v>
      </c>
      <c r="M34" s="317"/>
      <c r="N34" s="317" t="n">
        <f aca="false">L34+IF(M34="",0,M34)</f>
        <v>186000</v>
      </c>
    </row>
    <row r="35" customFormat="false" ht="15" hidden="false" customHeight="true" outlineLevel="0" collapsed="false">
      <c r="A35" s="315" t="n">
        <v>34</v>
      </c>
      <c r="B35" s="216" t="s">
        <v>475</v>
      </c>
      <c r="C35" s="216" t="s">
        <v>456</v>
      </c>
      <c r="D35" s="216" t="s">
        <v>415</v>
      </c>
      <c r="E35" s="216" t="s">
        <v>476</v>
      </c>
      <c r="F35" s="216" t="s">
        <v>126</v>
      </c>
      <c r="G35" s="216"/>
      <c r="H35" s="216" t="s">
        <v>419</v>
      </c>
      <c r="I35" s="316" t="n">
        <v>45658</v>
      </c>
      <c r="J35" s="315" t="s">
        <v>420</v>
      </c>
      <c r="K35" s="315" t="s">
        <v>421</v>
      </c>
      <c r="L35" s="317" t="n">
        <v>224000</v>
      </c>
      <c r="M35" s="317"/>
      <c r="N35" s="317" t="n">
        <f aca="false">L35+IF(M35="",0,M35)</f>
        <v>224000</v>
      </c>
    </row>
    <row r="36" customFormat="false" ht="15" hidden="false" customHeight="true" outlineLevel="0" collapsed="false">
      <c r="A36" s="315" t="n">
        <v>35</v>
      </c>
      <c r="B36" s="216" t="s">
        <v>477</v>
      </c>
      <c r="C36" s="216" t="s">
        <v>456</v>
      </c>
      <c r="D36" s="216" t="s">
        <v>415</v>
      </c>
      <c r="E36" s="216" t="s">
        <v>469</v>
      </c>
      <c r="F36" s="216" t="s">
        <v>126</v>
      </c>
      <c r="G36" s="216"/>
      <c r="H36" s="216" t="s">
        <v>419</v>
      </c>
      <c r="I36" s="316" t="n">
        <v>45658</v>
      </c>
      <c r="J36" s="315" t="s">
        <v>420</v>
      </c>
      <c r="K36" s="315" t="s">
        <v>421</v>
      </c>
      <c r="L36" s="317" t="n">
        <v>208000</v>
      </c>
      <c r="M36" s="317"/>
      <c r="N36" s="317" t="n">
        <f aca="false">L36+IF(M36="",0,M36)</f>
        <v>208000</v>
      </c>
    </row>
    <row r="37" customFormat="false" ht="15" hidden="false" customHeight="true" outlineLevel="0" collapsed="false">
      <c r="A37" s="315" t="n">
        <v>36</v>
      </c>
      <c r="B37" s="216" t="s">
        <v>478</v>
      </c>
      <c r="C37" s="216" t="s">
        <v>456</v>
      </c>
      <c r="D37" s="216" t="s">
        <v>415</v>
      </c>
      <c r="E37" s="216" t="s">
        <v>473</v>
      </c>
      <c r="F37" s="216" t="s">
        <v>126</v>
      </c>
      <c r="G37" s="216"/>
      <c r="H37" s="216" t="s">
        <v>419</v>
      </c>
      <c r="I37" s="316" t="n">
        <v>45658</v>
      </c>
      <c r="J37" s="315" t="s">
        <v>420</v>
      </c>
      <c r="K37" s="315" t="s">
        <v>421</v>
      </c>
      <c r="L37" s="317" t="n">
        <v>129000</v>
      </c>
      <c r="M37" s="317"/>
      <c r="N37" s="317" t="n">
        <f aca="false">L37+IF(M37="",0,M37)</f>
        <v>129000</v>
      </c>
    </row>
    <row r="38" customFormat="false" ht="15" hidden="false" customHeight="true" outlineLevel="0" collapsed="false">
      <c r="A38" s="315" t="n">
        <v>37</v>
      </c>
      <c r="B38" s="216" t="s">
        <v>479</v>
      </c>
      <c r="C38" s="216" t="s">
        <v>480</v>
      </c>
      <c r="D38" s="216" t="s">
        <v>415</v>
      </c>
      <c r="E38" s="216" t="s">
        <v>481</v>
      </c>
      <c r="F38" s="216" t="s">
        <v>126</v>
      </c>
      <c r="G38" s="216"/>
      <c r="H38" s="216" t="s">
        <v>419</v>
      </c>
      <c r="I38" s="316" t="n">
        <v>45658</v>
      </c>
      <c r="J38" s="315" t="s">
        <v>420</v>
      </c>
      <c r="K38" s="315" t="s">
        <v>421</v>
      </c>
      <c r="L38" s="317" t="n">
        <v>219000</v>
      </c>
      <c r="M38" s="317"/>
      <c r="N38" s="317" t="n">
        <f aca="false">L38+IF(M38="",0,M38)</f>
        <v>219000</v>
      </c>
    </row>
    <row r="39" customFormat="false" ht="15" hidden="false" customHeight="true" outlineLevel="0" collapsed="false">
      <c r="A39" s="315" t="n">
        <v>38</v>
      </c>
      <c r="B39" s="216" t="s">
        <v>482</v>
      </c>
      <c r="C39" s="216" t="s">
        <v>480</v>
      </c>
      <c r="D39" s="216" t="s">
        <v>415</v>
      </c>
      <c r="E39" s="216" t="s">
        <v>483</v>
      </c>
      <c r="F39" s="216" t="s">
        <v>126</v>
      </c>
      <c r="G39" s="216"/>
      <c r="H39" s="216" t="s">
        <v>419</v>
      </c>
      <c r="I39" s="316" t="n">
        <v>45658</v>
      </c>
      <c r="J39" s="315" t="s">
        <v>420</v>
      </c>
      <c r="K39" s="315" t="s">
        <v>421</v>
      </c>
      <c r="L39" s="317" t="n">
        <v>159000</v>
      </c>
      <c r="M39" s="317"/>
      <c r="N39" s="317" t="n">
        <f aca="false">L39+IF(M39="",0,M39)</f>
        <v>159000</v>
      </c>
    </row>
    <row r="40" customFormat="false" ht="15" hidden="false" customHeight="true" outlineLevel="0" collapsed="false">
      <c r="A40" s="315" t="n">
        <v>39</v>
      </c>
      <c r="B40" s="216" t="s">
        <v>484</v>
      </c>
      <c r="C40" s="216" t="s">
        <v>480</v>
      </c>
      <c r="D40" s="216" t="s">
        <v>415</v>
      </c>
      <c r="E40" s="216" t="s">
        <v>483</v>
      </c>
      <c r="F40" s="216" t="s">
        <v>126</v>
      </c>
      <c r="G40" s="216"/>
      <c r="H40" s="216" t="s">
        <v>419</v>
      </c>
      <c r="I40" s="316" t="n">
        <v>45658</v>
      </c>
      <c r="J40" s="315" t="s">
        <v>420</v>
      </c>
      <c r="K40" s="315" t="s">
        <v>421</v>
      </c>
      <c r="L40" s="317" t="n">
        <v>145000</v>
      </c>
      <c r="M40" s="317"/>
      <c r="N40" s="317" t="n">
        <f aca="false">L40+IF(M40="",0,M40)</f>
        <v>145000</v>
      </c>
    </row>
    <row r="41" customFormat="false" ht="15" hidden="false" customHeight="true" outlineLevel="0" collapsed="false">
      <c r="A41" s="315" t="n">
        <v>40</v>
      </c>
      <c r="B41" s="216" t="s">
        <v>485</v>
      </c>
      <c r="C41" s="216" t="s">
        <v>480</v>
      </c>
      <c r="D41" s="216" t="s">
        <v>415</v>
      </c>
      <c r="E41" s="216" t="s">
        <v>486</v>
      </c>
      <c r="F41" s="216" t="s">
        <v>126</v>
      </c>
      <c r="G41" s="216"/>
      <c r="H41" s="216" t="s">
        <v>419</v>
      </c>
      <c r="I41" s="316" t="n">
        <v>45658</v>
      </c>
      <c r="J41" s="315" t="s">
        <v>420</v>
      </c>
      <c r="K41" s="315" t="s">
        <v>421</v>
      </c>
      <c r="L41" s="317" t="n">
        <v>184000</v>
      </c>
      <c r="M41" s="317"/>
      <c r="N41" s="317" t="n">
        <f aca="false">L41+IF(M41="",0,M41)</f>
        <v>184000</v>
      </c>
    </row>
    <row r="42" customFormat="false" ht="15" hidden="false" customHeight="true" outlineLevel="0" collapsed="false">
      <c r="A42" s="315" t="n">
        <v>41</v>
      </c>
      <c r="B42" s="216" t="s">
        <v>487</v>
      </c>
      <c r="C42" s="216" t="s">
        <v>480</v>
      </c>
      <c r="D42" s="216" t="s">
        <v>415</v>
      </c>
      <c r="E42" s="216" t="s">
        <v>483</v>
      </c>
      <c r="F42" s="216" t="s">
        <v>126</v>
      </c>
      <c r="G42" s="216"/>
      <c r="H42" s="216" t="s">
        <v>419</v>
      </c>
      <c r="I42" s="316" t="n">
        <v>45658</v>
      </c>
      <c r="J42" s="315" t="s">
        <v>420</v>
      </c>
      <c r="K42" s="315" t="s">
        <v>421</v>
      </c>
      <c r="L42" s="317" t="n">
        <v>157000</v>
      </c>
      <c r="M42" s="317"/>
      <c r="N42" s="317" t="n">
        <f aca="false">L42+IF(M42="",0,M42)</f>
        <v>157000</v>
      </c>
    </row>
    <row r="43" customFormat="false" ht="15" hidden="false" customHeight="true" outlineLevel="0" collapsed="false">
      <c r="A43" s="315" t="n">
        <v>42</v>
      </c>
      <c r="B43" s="216" t="s">
        <v>488</v>
      </c>
      <c r="C43" s="216" t="s">
        <v>489</v>
      </c>
      <c r="D43" s="216" t="s">
        <v>415</v>
      </c>
      <c r="E43" s="216" t="s">
        <v>490</v>
      </c>
      <c r="F43" s="216" t="s">
        <v>491</v>
      </c>
      <c r="G43" s="216" t="s">
        <v>492</v>
      </c>
      <c r="H43" s="216" t="s">
        <v>419</v>
      </c>
      <c r="I43" s="316" t="n">
        <v>45658</v>
      </c>
      <c r="J43" s="315" t="s">
        <v>420</v>
      </c>
      <c r="K43" s="315" t="s">
        <v>421</v>
      </c>
      <c r="L43" s="317" t="n">
        <v>150000</v>
      </c>
      <c r="M43" s="317" t="n">
        <v>150000</v>
      </c>
      <c r="N43" s="317" t="n">
        <f aca="false">L43+IF(M43="",0,M43)</f>
        <v>300000</v>
      </c>
    </row>
    <row r="44" customFormat="false" ht="15" hidden="false" customHeight="true" outlineLevel="0" collapsed="false">
      <c r="A44" s="315" t="n">
        <v>43</v>
      </c>
      <c r="B44" s="216" t="s">
        <v>493</v>
      </c>
      <c r="C44" s="216" t="s">
        <v>489</v>
      </c>
      <c r="D44" s="216" t="s">
        <v>415</v>
      </c>
      <c r="E44" s="216" t="s">
        <v>490</v>
      </c>
      <c r="F44" s="216" t="s">
        <v>491</v>
      </c>
      <c r="G44" s="216" t="s">
        <v>492</v>
      </c>
      <c r="H44" s="216" t="s">
        <v>419</v>
      </c>
      <c r="I44" s="316" t="n">
        <v>45658</v>
      </c>
      <c r="J44" s="315" t="s">
        <v>420</v>
      </c>
      <c r="K44" s="315" t="s">
        <v>421</v>
      </c>
      <c r="L44" s="317" t="n">
        <v>156000</v>
      </c>
      <c r="M44" s="317" t="n">
        <v>156000</v>
      </c>
      <c r="N44" s="317" t="n">
        <f aca="false">L44+IF(M44="",0,M44)</f>
        <v>312000</v>
      </c>
    </row>
    <row r="45" customFormat="false" ht="15" hidden="false" customHeight="true" outlineLevel="0" collapsed="false">
      <c r="A45" s="315" t="n">
        <v>44</v>
      </c>
      <c r="B45" s="216" t="s">
        <v>494</v>
      </c>
      <c r="C45" s="216" t="s">
        <v>489</v>
      </c>
      <c r="D45" s="216" t="s">
        <v>415</v>
      </c>
      <c r="E45" s="216" t="s">
        <v>495</v>
      </c>
      <c r="F45" s="216" t="s">
        <v>491</v>
      </c>
      <c r="G45" s="216" t="s">
        <v>492</v>
      </c>
      <c r="H45" s="216" t="s">
        <v>419</v>
      </c>
      <c r="I45" s="316" t="n">
        <v>45658</v>
      </c>
      <c r="J45" s="315" t="s">
        <v>420</v>
      </c>
      <c r="K45" s="315" t="s">
        <v>421</v>
      </c>
      <c r="L45" s="317" t="n">
        <v>132000</v>
      </c>
      <c r="M45" s="317" t="n">
        <v>132000</v>
      </c>
      <c r="N45" s="317" t="n">
        <f aca="false">L45+IF(M45="",0,M45)</f>
        <v>264000</v>
      </c>
    </row>
    <row r="46" customFormat="false" ht="15" hidden="false" customHeight="true" outlineLevel="0" collapsed="false">
      <c r="A46" s="315" t="n">
        <v>45</v>
      </c>
      <c r="B46" s="216" t="s">
        <v>496</v>
      </c>
      <c r="C46" s="216" t="s">
        <v>489</v>
      </c>
      <c r="D46" s="216" t="s">
        <v>415</v>
      </c>
      <c r="E46" s="216" t="s">
        <v>497</v>
      </c>
      <c r="F46" s="216" t="s">
        <v>491</v>
      </c>
      <c r="G46" s="216"/>
      <c r="H46" s="216" t="s">
        <v>419</v>
      </c>
      <c r="I46" s="316" t="n">
        <v>45658</v>
      </c>
      <c r="J46" s="315" t="s">
        <v>420</v>
      </c>
      <c r="K46" s="315" t="s">
        <v>421</v>
      </c>
      <c r="L46" s="317" t="n">
        <v>144000</v>
      </c>
      <c r="M46" s="317" t="n">
        <v>36000</v>
      </c>
      <c r="N46" s="317" t="n">
        <f aca="false">L46+IF(M46="",0,M46)</f>
        <v>180000</v>
      </c>
    </row>
    <row r="47" customFormat="false" ht="15" hidden="false" customHeight="true" outlineLevel="0" collapsed="false">
      <c r="A47" s="315" t="n">
        <v>46</v>
      </c>
      <c r="B47" s="216" t="s">
        <v>498</v>
      </c>
      <c r="C47" s="216" t="s">
        <v>489</v>
      </c>
      <c r="D47" s="216" t="s">
        <v>415</v>
      </c>
      <c r="E47" s="216" t="s">
        <v>490</v>
      </c>
      <c r="F47" s="216" t="s">
        <v>491</v>
      </c>
      <c r="G47" s="216" t="s">
        <v>492</v>
      </c>
      <c r="H47" s="216" t="s">
        <v>419</v>
      </c>
      <c r="I47" s="316" t="n">
        <v>45658</v>
      </c>
      <c r="J47" s="315" t="s">
        <v>420</v>
      </c>
      <c r="K47" s="315" t="s">
        <v>421</v>
      </c>
      <c r="L47" s="317" t="n">
        <v>164000</v>
      </c>
      <c r="M47" s="317" t="n">
        <v>164000</v>
      </c>
      <c r="N47" s="317" t="n">
        <f aca="false">L47+IF(M47="",0,M47)</f>
        <v>328000</v>
      </c>
    </row>
    <row r="48" customFormat="false" ht="15" hidden="false" customHeight="true" outlineLevel="0" collapsed="false">
      <c r="A48" s="315" t="n">
        <v>47</v>
      </c>
      <c r="B48" s="216" t="s">
        <v>499</v>
      </c>
      <c r="C48" s="216" t="s">
        <v>489</v>
      </c>
      <c r="D48" s="216" t="s">
        <v>415</v>
      </c>
      <c r="E48" s="216" t="s">
        <v>495</v>
      </c>
      <c r="F48" s="216" t="s">
        <v>491</v>
      </c>
      <c r="G48" s="216" t="s">
        <v>492</v>
      </c>
      <c r="H48" s="216" t="s">
        <v>419</v>
      </c>
      <c r="I48" s="316" t="n">
        <v>45658</v>
      </c>
      <c r="J48" s="315" t="s">
        <v>420</v>
      </c>
      <c r="K48" s="315" t="s">
        <v>421</v>
      </c>
      <c r="L48" s="317" t="n">
        <v>131000</v>
      </c>
      <c r="M48" s="317" t="n">
        <v>131000</v>
      </c>
      <c r="N48" s="317" t="n">
        <f aca="false">L48+IF(M48="",0,M48)</f>
        <v>262000</v>
      </c>
    </row>
    <row r="49" customFormat="false" ht="15" hidden="false" customHeight="true" outlineLevel="0" collapsed="false">
      <c r="A49" s="315" t="n">
        <v>48</v>
      </c>
      <c r="B49" s="216" t="s">
        <v>500</v>
      </c>
      <c r="C49" s="216" t="s">
        <v>489</v>
      </c>
      <c r="D49" s="216" t="s">
        <v>415</v>
      </c>
      <c r="E49" s="216" t="s">
        <v>495</v>
      </c>
      <c r="F49" s="216" t="s">
        <v>491</v>
      </c>
      <c r="G49" s="216" t="s">
        <v>492</v>
      </c>
      <c r="H49" s="216" t="s">
        <v>419</v>
      </c>
      <c r="I49" s="316" t="n">
        <v>45658</v>
      </c>
      <c r="J49" s="315" t="s">
        <v>420</v>
      </c>
      <c r="K49" s="315" t="s">
        <v>421</v>
      </c>
      <c r="L49" s="317" t="n">
        <v>129000</v>
      </c>
      <c r="M49" s="317" t="n">
        <v>129000</v>
      </c>
      <c r="N49" s="317" t="n">
        <f aca="false">L49+IF(M49="",0,M49)</f>
        <v>258000</v>
      </c>
    </row>
    <row r="50" customFormat="false" ht="15" hidden="false" customHeight="true" outlineLevel="0" collapsed="false">
      <c r="A50" s="315" t="n">
        <v>49</v>
      </c>
      <c r="B50" s="216" t="s">
        <v>501</v>
      </c>
      <c r="C50" s="216" t="s">
        <v>489</v>
      </c>
      <c r="D50" s="216" t="s">
        <v>415</v>
      </c>
      <c r="E50" s="216" t="s">
        <v>490</v>
      </c>
      <c r="F50" s="216" t="s">
        <v>491</v>
      </c>
      <c r="G50" s="216" t="s">
        <v>492</v>
      </c>
      <c r="H50" s="216" t="s">
        <v>419</v>
      </c>
      <c r="I50" s="316" t="n">
        <v>45658</v>
      </c>
      <c r="J50" s="315" t="s">
        <v>420</v>
      </c>
      <c r="K50" s="315" t="s">
        <v>421</v>
      </c>
      <c r="L50" s="317" t="n">
        <v>158000</v>
      </c>
      <c r="M50" s="317" t="n">
        <v>158000</v>
      </c>
      <c r="N50" s="317" t="n">
        <f aca="false">L50+IF(M50="",0,M50)</f>
        <v>316000</v>
      </c>
    </row>
    <row r="51" customFormat="false" ht="15" hidden="false" customHeight="true" outlineLevel="0" collapsed="false">
      <c r="A51" s="315" t="n">
        <v>50</v>
      </c>
      <c r="B51" s="216" t="s">
        <v>502</v>
      </c>
      <c r="C51" s="216" t="s">
        <v>489</v>
      </c>
      <c r="D51" s="216" t="s">
        <v>415</v>
      </c>
      <c r="E51" s="216" t="s">
        <v>503</v>
      </c>
      <c r="F51" s="216" t="s">
        <v>491</v>
      </c>
      <c r="G51" s="216"/>
      <c r="H51" s="216" t="s">
        <v>419</v>
      </c>
      <c r="I51" s="316" t="n">
        <v>45658</v>
      </c>
      <c r="J51" s="315" t="s">
        <v>420</v>
      </c>
      <c r="K51" s="315" t="s">
        <v>421</v>
      </c>
      <c r="L51" s="317" t="n">
        <v>207000</v>
      </c>
      <c r="M51" s="317" t="n">
        <v>138690</v>
      </c>
      <c r="N51" s="317" t="n">
        <f aca="false">L51+IF(M51="",0,M51)</f>
        <v>345690</v>
      </c>
    </row>
    <row r="52" customFormat="false" ht="15" hidden="false" customHeight="true" outlineLevel="0" collapsed="false">
      <c r="A52" s="315" t="n">
        <v>51</v>
      </c>
      <c r="B52" s="216" t="s">
        <v>504</v>
      </c>
      <c r="C52" s="216" t="s">
        <v>489</v>
      </c>
      <c r="D52" s="216" t="s">
        <v>415</v>
      </c>
      <c r="E52" s="216" t="s">
        <v>505</v>
      </c>
      <c r="F52" s="216" t="s">
        <v>491</v>
      </c>
      <c r="G52" s="216"/>
      <c r="H52" s="216" t="s">
        <v>419</v>
      </c>
      <c r="I52" s="316" t="n">
        <v>45658</v>
      </c>
      <c r="J52" s="315" t="s">
        <v>420</v>
      </c>
      <c r="K52" s="315" t="s">
        <v>421</v>
      </c>
      <c r="L52" s="317" t="n">
        <v>178000</v>
      </c>
      <c r="M52" s="317" t="n">
        <v>119260</v>
      </c>
      <c r="N52" s="317" t="n">
        <f aca="false">L52+IF(M52="",0,M52)</f>
        <v>297260</v>
      </c>
    </row>
    <row r="53" customFormat="false" ht="15" hidden="false" customHeight="true" outlineLevel="0" collapsed="false">
      <c r="A53" s="315" t="n">
        <v>52</v>
      </c>
      <c r="B53" s="216" t="s">
        <v>506</v>
      </c>
      <c r="C53" s="216" t="s">
        <v>489</v>
      </c>
      <c r="D53" s="216" t="s">
        <v>415</v>
      </c>
      <c r="E53" s="216" t="s">
        <v>490</v>
      </c>
      <c r="F53" s="216" t="s">
        <v>491</v>
      </c>
      <c r="G53" s="216" t="s">
        <v>492</v>
      </c>
      <c r="H53" s="216" t="s">
        <v>419</v>
      </c>
      <c r="I53" s="316" t="n">
        <v>45658</v>
      </c>
      <c r="J53" s="315" t="s">
        <v>420</v>
      </c>
      <c r="K53" s="315" t="s">
        <v>421</v>
      </c>
      <c r="L53" s="317" t="n">
        <v>160000</v>
      </c>
      <c r="M53" s="317" t="n">
        <v>160000</v>
      </c>
      <c r="N53" s="317" t="n">
        <f aca="false">L53+IF(M53="",0,M53)</f>
        <v>320000</v>
      </c>
    </row>
    <row r="54" customFormat="false" ht="15" hidden="false" customHeight="true" outlineLevel="0" collapsed="false">
      <c r="A54" s="315" t="n">
        <v>53</v>
      </c>
      <c r="B54" s="216" t="s">
        <v>507</v>
      </c>
      <c r="C54" s="216" t="s">
        <v>508</v>
      </c>
      <c r="D54" s="216" t="s">
        <v>415</v>
      </c>
      <c r="E54" s="216" t="s">
        <v>509</v>
      </c>
      <c r="F54" s="216" t="s">
        <v>491</v>
      </c>
      <c r="G54" s="216"/>
      <c r="H54" s="216" t="s">
        <v>419</v>
      </c>
      <c r="I54" s="316" t="n">
        <v>45658</v>
      </c>
      <c r="J54" s="315" t="s">
        <v>420</v>
      </c>
      <c r="K54" s="315" t="s">
        <v>421</v>
      </c>
      <c r="L54" s="317" t="n">
        <v>69000</v>
      </c>
      <c r="M54" s="317" t="n">
        <v>29670</v>
      </c>
      <c r="N54" s="317" t="n">
        <f aca="false">L54+IF(M54="",0,M54)</f>
        <v>98670</v>
      </c>
    </row>
    <row r="55" customFormat="false" ht="15" hidden="false" customHeight="true" outlineLevel="0" collapsed="false">
      <c r="A55" s="315" t="n">
        <v>54</v>
      </c>
      <c r="B55" s="216" t="s">
        <v>510</v>
      </c>
      <c r="C55" s="216" t="s">
        <v>508</v>
      </c>
      <c r="D55" s="216" t="s">
        <v>415</v>
      </c>
      <c r="E55" s="216" t="s">
        <v>511</v>
      </c>
      <c r="F55" s="216" t="s">
        <v>491</v>
      </c>
      <c r="G55" s="216" t="s">
        <v>492</v>
      </c>
      <c r="H55" s="216" t="s">
        <v>419</v>
      </c>
      <c r="I55" s="316" t="n">
        <v>45658</v>
      </c>
      <c r="J55" s="315" t="s">
        <v>420</v>
      </c>
      <c r="K55" s="315" t="s">
        <v>421</v>
      </c>
      <c r="L55" s="317" t="n">
        <v>103000</v>
      </c>
      <c r="M55" s="317" t="n">
        <v>103000</v>
      </c>
      <c r="N55" s="317" t="n">
        <f aca="false">L55+IF(M55="",0,M55)</f>
        <v>206000</v>
      </c>
    </row>
    <row r="56" customFormat="false" ht="15" hidden="false" customHeight="true" outlineLevel="0" collapsed="false">
      <c r="A56" s="315" t="n">
        <v>55</v>
      </c>
      <c r="B56" s="216" t="s">
        <v>512</v>
      </c>
      <c r="C56" s="216" t="s">
        <v>508</v>
      </c>
      <c r="D56" s="216" t="s">
        <v>415</v>
      </c>
      <c r="E56" s="216" t="s">
        <v>511</v>
      </c>
      <c r="F56" s="216" t="s">
        <v>491</v>
      </c>
      <c r="G56" s="216" t="s">
        <v>492</v>
      </c>
      <c r="H56" s="216" t="s">
        <v>419</v>
      </c>
      <c r="I56" s="316" t="n">
        <v>45658</v>
      </c>
      <c r="J56" s="315" t="s">
        <v>420</v>
      </c>
      <c r="K56" s="315" t="s">
        <v>421</v>
      </c>
      <c r="L56" s="317" t="n">
        <v>94000</v>
      </c>
      <c r="M56" s="317" t="n">
        <v>94000</v>
      </c>
      <c r="N56" s="317" t="n">
        <f aca="false">L56+IF(M56="",0,M56)</f>
        <v>188000</v>
      </c>
    </row>
    <row r="57" customFormat="false" ht="15" hidden="false" customHeight="true" outlineLevel="0" collapsed="false">
      <c r="A57" s="315" t="n">
        <v>56</v>
      </c>
      <c r="B57" s="216" t="s">
        <v>513</v>
      </c>
      <c r="C57" s="216" t="s">
        <v>508</v>
      </c>
      <c r="D57" s="216" t="s">
        <v>415</v>
      </c>
      <c r="E57" s="216" t="s">
        <v>511</v>
      </c>
      <c r="F57" s="216" t="s">
        <v>491</v>
      </c>
      <c r="G57" s="216" t="s">
        <v>492</v>
      </c>
      <c r="H57" s="216" t="s">
        <v>419</v>
      </c>
      <c r="I57" s="316" t="n">
        <v>45658</v>
      </c>
      <c r="J57" s="315" t="s">
        <v>420</v>
      </c>
      <c r="K57" s="315" t="s">
        <v>421</v>
      </c>
      <c r="L57" s="317" t="n">
        <v>95000</v>
      </c>
      <c r="M57" s="317" t="n">
        <v>95000</v>
      </c>
      <c r="N57" s="317" t="n">
        <f aca="false">L57+IF(M57="",0,M57)</f>
        <v>190000</v>
      </c>
    </row>
    <row r="58" customFormat="false" ht="15" hidden="false" customHeight="true" outlineLevel="0" collapsed="false">
      <c r="A58" s="315" t="n">
        <v>57</v>
      </c>
      <c r="B58" s="216" t="s">
        <v>514</v>
      </c>
      <c r="C58" s="216" t="s">
        <v>508</v>
      </c>
      <c r="D58" s="216" t="s">
        <v>415</v>
      </c>
      <c r="E58" s="216" t="s">
        <v>509</v>
      </c>
      <c r="F58" s="216" t="s">
        <v>491</v>
      </c>
      <c r="G58" s="216"/>
      <c r="H58" s="216" t="s">
        <v>419</v>
      </c>
      <c r="I58" s="316" t="n">
        <v>45658</v>
      </c>
      <c r="J58" s="315" t="s">
        <v>420</v>
      </c>
      <c r="K58" s="315" t="s">
        <v>421</v>
      </c>
      <c r="L58" s="317" t="n">
        <v>75000</v>
      </c>
      <c r="M58" s="317" t="n">
        <v>32250</v>
      </c>
      <c r="N58" s="317" t="n">
        <f aca="false">L58+IF(M58="",0,M58)</f>
        <v>107250</v>
      </c>
    </row>
    <row r="59" customFormat="false" ht="15" hidden="false" customHeight="true" outlineLevel="0" collapsed="false">
      <c r="A59" s="315" t="n">
        <v>58</v>
      </c>
      <c r="B59" s="216" t="s">
        <v>515</v>
      </c>
      <c r="C59" s="216" t="s">
        <v>508</v>
      </c>
      <c r="D59" s="216" t="s">
        <v>415</v>
      </c>
      <c r="E59" s="216" t="s">
        <v>516</v>
      </c>
      <c r="F59" s="216" t="s">
        <v>491</v>
      </c>
      <c r="G59" s="216"/>
      <c r="H59" s="216" t="s">
        <v>419</v>
      </c>
      <c r="I59" s="316" t="n">
        <v>45658</v>
      </c>
      <c r="J59" s="315" t="s">
        <v>420</v>
      </c>
      <c r="K59" s="315" t="s">
        <v>421</v>
      </c>
      <c r="L59" s="317" t="n">
        <v>78000</v>
      </c>
      <c r="M59" s="317" t="n">
        <v>32760</v>
      </c>
      <c r="N59" s="317" t="n">
        <f aca="false">L59+IF(M59="",0,M59)</f>
        <v>110760</v>
      </c>
    </row>
    <row r="60" customFormat="false" ht="15" hidden="false" customHeight="true" outlineLevel="0" collapsed="false">
      <c r="A60" s="315" t="n">
        <v>59</v>
      </c>
      <c r="B60" s="216" t="s">
        <v>517</v>
      </c>
      <c r="C60" s="216" t="s">
        <v>508</v>
      </c>
      <c r="D60" s="216" t="s">
        <v>415</v>
      </c>
      <c r="E60" s="216" t="s">
        <v>516</v>
      </c>
      <c r="F60" s="216" t="s">
        <v>491</v>
      </c>
      <c r="G60" s="216"/>
      <c r="H60" s="216" t="s">
        <v>419</v>
      </c>
      <c r="I60" s="316" t="n">
        <v>45658</v>
      </c>
      <c r="J60" s="315" t="s">
        <v>420</v>
      </c>
      <c r="K60" s="315" t="s">
        <v>421</v>
      </c>
      <c r="L60" s="317" t="n">
        <v>71000</v>
      </c>
      <c r="M60" s="317" t="n">
        <v>29820</v>
      </c>
      <c r="N60" s="317" t="n">
        <f aca="false">L60+IF(M60="",0,M60)</f>
        <v>100820</v>
      </c>
    </row>
    <row r="61" customFormat="false" ht="15" hidden="false" customHeight="true" outlineLevel="0" collapsed="false">
      <c r="A61" s="315" t="n">
        <v>60</v>
      </c>
      <c r="B61" s="216" t="s">
        <v>518</v>
      </c>
      <c r="C61" s="216" t="s">
        <v>508</v>
      </c>
      <c r="D61" s="216" t="s">
        <v>415</v>
      </c>
      <c r="E61" s="216" t="s">
        <v>516</v>
      </c>
      <c r="F61" s="216" t="s">
        <v>491</v>
      </c>
      <c r="G61" s="216"/>
      <c r="H61" s="216" t="s">
        <v>419</v>
      </c>
      <c r="I61" s="316" t="n">
        <v>45658</v>
      </c>
      <c r="J61" s="315" t="s">
        <v>420</v>
      </c>
      <c r="K61" s="315" t="s">
        <v>421</v>
      </c>
      <c r="L61" s="317" t="n">
        <v>75000</v>
      </c>
      <c r="M61" s="317" t="n">
        <v>31500</v>
      </c>
      <c r="N61" s="317" t="n">
        <f aca="false">L61+IF(M61="",0,M61)</f>
        <v>106500</v>
      </c>
    </row>
    <row r="62" customFormat="false" ht="15" hidden="false" customHeight="true" outlineLevel="0" collapsed="false">
      <c r="A62" s="315" t="n">
        <v>61</v>
      </c>
      <c r="B62" s="216" t="s">
        <v>519</v>
      </c>
      <c r="C62" s="216" t="s">
        <v>520</v>
      </c>
      <c r="D62" s="216" t="s">
        <v>415</v>
      </c>
      <c r="E62" s="216" t="s">
        <v>521</v>
      </c>
      <c r="F62" s="216" t="s">
        <v>491</v>
      </c>
      <c r="G62" s="216"/>
      <c r="H62" s="216" t="s">
        <v>419</v>
      </c>
      <c r="I62" s="316" t="n">
        <v>45658</v>
      </c>
      <c r="J62" s="315" t="s">
        <v>420</v>
      </c>
      <c r="K62" s="315" t="s">
        <v>421</v>
      </c>
      <c r="L62" s="317" t="n">
        <v>110000</v>
      </c>
      <c r="M62" s="317" t="n">
        <v>27500</v>
      </c>
      <c r="N62" s="317" t="n">
        <f aca="false">L62+IF(M62="",0,M62)</f>
        <v>137500</v>
      </c>
    </row>
    <row r="63" customFormat="false" ht="15" hidden="false" customHeight="true" outlineLevel="0" collapsed="false">
      <c r="A63" s="315" t="n">
        <v>62</v>
      </c>
      <c r="B63" s="216" t="s">
        <v>522</v>
      </c>
      <c r="C63" s="216" t="s">
        <v>520</v>
      </c>
      <c r="D63" s="216" t="s">
        <v>415</v>
      </c>
      <c r="E63" s="216" t="s">
        <v>523</v>
      </c>
      <c r="F63" s="216" t="s">
        <v>491</v>
      </c>
      <c r="G63" s="216"/>
      <c r="H63" s="216" t="s">
        <v>419</v>
      </c>
      <c r="I63" s="316" t="n">
        <v>45658</v>
      </c>
      <c r="J63" s="315" t="s">
        <v>420</v>
      </c>
      <c r="K63" s="315" t="s">
        <v>421</v>
      </c>
      <c r="L63" s="317" t="n">
        <v>108000</v>
      </c>
      <c r="M63" s="317" t="n">
        <v>27000</v>
      </c>
      <c r="N63" s="317" t="n">
        <f aca="false">L63+IF(M63="",0,M63)</f>
        <v>135000</v>
      </c>
    </row>
    <row r="64" customFormat="false" ht="15" hidden="false" customHeight="true" outlineLevel="0" collapsed="false">
      <c r="A64" s="315" t="n">
        <v>63</v>
      </c>
      <c r="B64" s="216" t="s">
        <v>524</v>
      </c>
      <c r="C64" s="216" t="s">
        <v>520</v>
      </c>
      <c r="D64" s="216" t="s">
        <v>415</v>
      </c>
      <c r="E64" s="216" t="s">
        <v>525</v>
      </c>
      <c r="F64" s="216" t="s">
        <v>491</v>
      </c>
      <c r="G64" s="216"/>
      <c r="H64" s="216" t="s">
        <v>419</v>
      </c>
      <c r="I64" s="316" t="n">
        <v>45658</v>
      </c>
      <c r="J64" s="315" t="s">
        <v>420</v>
      </c>
      <c r="K64" s="315" t="s">
        <v>421</v>
      </c>
      <c r="L64" s="317" t="n">
        <v>118000</v>
      </c>
      <c r="M64" s="317" t="n">
        <v>29500</v>
      </c>
      <c r="N64" s="317" t="n">
        <f aca="false">L64+IF(M64="",0,M64)</f>
        <v>147500</v>
      </c>
    </row>
    <row r="65" customFormat="false" ht="15" hidden="false" customHeight="true" outlineLevel="0" collapsed="false">
      <c r="A65" s="315" t="n">
        <v>64</v>
      </c>
      <c r="B65" s="216" t="s">
        <v>526</v>
      </c>
      <c r="C65" s="216" t="s">
        <v>520</v>
      </c>
      <c r="D65" s="216" t="s">
        <v>415</v>
      </c>
      <c r="E65" s="216" t="s">
        <v>521</v>
      </c>
      <c r="F65" s="216" t="s">
        <v>491</v>
      </c>
      <c r="G65" s="216"/>
      <c r="H65" s="216" t="s">
        <v>419</v>
      </c>
      <c r="I65" s="316" t="n">
        <v>45658</v>
      </c>
      <c r="J65" s="315" t="s">
        <v>420</v>
      </c>
      <c r="K65" s="315" t="s">
        <v>421</v>
      </c>
      <c r="L65" s="317" t="n">
        <v>110000</v>
      </c>
      <c r="M65" s="317" t="n">
        <v>27500</v>
      </c>
      <c r="N65" s="317" t="n">
        <f aca="false">L65+IF(M65="",0,M65)</f>
        <v>137500</v>
      </c>
    </row>
    <row r="66" customFormat="false" ht="15" hidden="false" customHeight="true" outlineLevel="0" collapsed="false">
      <c r="A66" s="315" t="n">
        <v>65</v>
      </c>
      <c r="B66" s="216" t="s">
        <v>527</v>
      </c>
      <c r="C66" s="216" t="s">
        <v>520</v>
      </c>
      <c r="D66" s="216" t="s">
        <v>415</v>
      </c>
      <c r="E66" s="216" t="s">
        <v>528</v>
      </c>
      <c r="F66" s="216" t="s">
        <v>491</v>
      </c>
      <c r="G66" s="216"/>
      <c r="H66" s="216" t="s">
        <v>419</v>
      </c>
      <c r="I66" s="316" t="n">
        <v>45658</v>
      </c>
      <c r="J66" s="315" t="s">
        <v>420</v>
      </c>
      <c r="K66" s="315" t="s">
        <v>421</v>
      </c>
      <c r="L66" s="317" t="n">
        <v>195000</v>
      </c>
      <c r="M66" s="317" t="n">
        <v>48750</v>
      </c>
      <c r="N66" s="317" t="n">
        <f aca="false">L66+IF(M66="",0,M66)</f>
        <v>243750</v>
      </c>
    </row>
    <row r="67" customFormat="false" ht="15" hidden="false" customHeight="true" outlineLevel="0" collapsed="false">
      <c r="A67" s="315" t="n">
        <v>66</v>
      </c>
      <c r="B67" s="216" t="s">
        <v>529</v>
      </c>
      <c r="C67" s="216" t="s">
        <v>520</v>
      </c>
      <c r="D67" s="216" t="s">
        <v>415</v>
      </c>
      <c r="E67" s="216" t="s">
        <v>530</v>
      </c>
      <c r="F67" s="216" t="s">
        <v>491</v>
      </c>
      <c r="G67" s="216"/>
      <c r="H67" s="216" t="s">
        <v>419</v>
      </c>
      <c r="I67" s="316" t="n">
        <v>45658</v>
      </c>
      <c r="J67" s="315" t="s">
        <v>420</v>
      </c>
      <c r="K67" s="315" t="s">
        <v>421</v>
      </c>
      <c r="L67" s="317" t="n">
        <v>96000</v>
      </c>
      <c r="M67" s="317" t="n">
        <v>24000</v>
      </c>
      <c r="N67" s="317" t="n">
        <f aca="false">L67+IF(M67="",0,M67)</f>
        <v>120000</v>
      </c>
    </row>
    <row r="68" customFormat="false" ht="15" hidden="false" customHeight="true" outlineLevel="0" collapsed="false">
      <c r="A68" s="315" t="n">
        <v>67</v>
      </c>
      <c r="B68" s="216" t="s">
        <v>531</v>
      </c>
      <c r="C68" s="216" t="s">
        <v>532</v>
      </c>
      <c r="D68" s="216" t="s">
        <v>415</v>
      </c>
      <c r="E68" s="216" t="s">
        <v>533</v>
      </c>
      <c r="F68" s="216" t="s">
        <v>534</v>
      </c>
      <c r="G68" s="216"/>
      <c r="H68" s="216" t="s">
        <v>419</v>
      </c>
      <c r="I68" s="316" t="n">
        <v>45658</v>
      </c>
      <c r="J68" s="315" t="s">
        <v>420</v>
      </c>
      <c r="K68" s="315" t="s">
        <v>421</v>
      </c>
      <c r="L68" s="317" t="n">
        <v>136000</v>
      </c>
      <c r="M68" s="317"/>
      <c r="N68" s="317" t="n">
        <f aca="false">L68+IF(M68="",0,M68)</f>
        <v>136000</v>
      </c>
    </row>
    <row r="69" customFormat="false" ht="15" hidden="false" customHeight="true" outlineLevel="0" collapsed="false">
      <c r="A69" s="315" t="n">
        <v>68</v>
      </c>
      <c r="B69" s="216" t="s">
        <v>535</v>
      </c>
      <c r="C69" s="216" t="s">
        <v>532</v>
      </c>
      <c r="D69" s="216" t="s">
        <v>415</v>
      </c>
      <c r="E69" s="216" t="s">
        <v>536</v>
      </c>
      <c r="F69" s="216" t="s">
        <v>534</v>
      </c>
      <c r="G69" s="216"/>
      <c r="H69" s="216" t="s">
        <v>419</v>
      </c>
      <c r="I69" s="316" t="n">
        <v>45658</v>
      </c>
      <c r="J69" s="315" t="s">
        <v>420</v>
      </c>
      <c r="K69" s="315" t="s">
        <v>421</v>
      </c>
      <c r="L69" s="317" t="n">
        <v>112000</v>
      </c>
      <c r="M69" s="317"/>
      <c r="N69" s="317" t="n">
        <f aca="false">L69+IF(M69="",0,M69)</f>
        <v>112000</v>
      </c>
    </row>
    <row r="70" customFormat="false" ht="15" hidden="false" customHeight="true" outlineLevel="0" collapsed="false">
      <c r="A70" s="315" t="n">
        <v>69</v>
      </c>
      <c r="B70" s="216" t="s">
        <v>537</v>
      </c>
      <c r="C70" s="216" t="s">
        <v>532</v>
      </c>
      <c r="D70" s="216" t="s">
        <v>415</v>
      </c>
      <c r="E70" s="216" t="s">
        <v>538</v>
      </c>
      <c r="F70" s="216" t="s">
        <v>534</v>
      </c>
      <c r="G70" s="216"/>
      <c r="H70" s="216" t="s">
        <v>419</v>
      </c>
      <c r="I70" s="316" t="n">
        <v>45658</v>
      </c>
      <c r="J70" s="315" t="s">
        <v>420</v>
      </c>
      <c r="K70" s="315" t="s">
        <v>421</v>
      </c>
      <c r="L70" s="317" t="n">
        <v>82000</v>
      </c>
      <c r="M70" s="317"/>
      <c r="N70" s="317" t="n">
        <f aca="false">L70+IF(M70="",0,M70)</f>
        <v>82000</v>
      </c>
    </row>
    <row r="71" customFormat="false" ht="15" hidden="false" customHeight="true" outlineLevel="0" collapsed="false">
      <c r="A71" s="315" t="n">
        <v>70</v>
      </c>
      <c r="B71" s="216" t="s">
        <v>539</v>
      </c>
      <c r="C71" s="216" t="s">
        <v>532</v>
      </c>
      <c r="D71" s="216" t="s">
        <v>415</v>
      </c>
      <c r="E71" s="216" t="s">
        <v>540</v>
      </c>
      <c r="F71" s="216" t="s">
        <v>534</v>
      </c>
      <c r="G71" s="216"/>
      <c r="H71" s="216" t="s">
        <v>419</v>
      </c>
      <c r="I71" s="316" t="n">
        <v>45658</v>
      </c>
      <c r="J71" s="315" t="s">
        <v>420</v>
      </c>
      <c r="K71" s="315" t="s">
        <v>421</v>
      </c>
      <c r="L71" s="317" t="n">
        <v>127000</v>
      </c>
      <c r="M71" s="317"/>
      <c r="N71" s="317" t="n">
        <f aca="false">L71+IF(M71="",0,M71)</f>
        <v>127000</v>
      </c>
    </row>
    <row r="72" customFormat="false" ht="15" hidden="false" customHeight="true" outlineLevel="0" collapsed="false">
      <c r="A72" s="315" t="n">
        <v>71</v>
      </c>
      <c r="B72" s="216" t="s">
        <v>541</v>
      </c>
      <c r="C72" s="216" t="s">
        <v>532</v>
      </c>
      <c r="D72" s="216" t="s">
        <v>415</v>
      </c>
      <c r="E72" s="216" t="s">
        <v>536</v>
      </c>
      <c r="F72" s="216" t="s">
        <v>534</v>
      </c>
      <c r="G72" s="216"/>
      <c r="H72" s="216" t="s">
        <v>419</v>
      </c>
      <c r="I72" s="316" t="n">
        <v>45658</v>
      </c>
      <c r="J72" s="315" t="s">
        <v>420</v>
      </c>
      <c r="K72" s="315" t="s">
        <v>421</v>
      </c>
      <c r="L72" s="317" t="n">
        <v>111000</v>
      </c>
      <c r="M72" s="317"/>
      <c r="N72" s="317" t="n">
        <f aca="false">L72+IF(M72="",0,M72)</f>
        <v>111000</v>
      </c>
    </row>
    <row r="73" customFormat="false" ht="15" hidden="false" customHeight="true" outlineLevel="0" collapsed="false">
      <c r="A73" s="315" t="n">
        <v>72</v>
      </c>
      <c r="B73" s="216" t="s">
        <v>542</v>
      </c>
      <c r="C73" s="216" t="s">
        <v>532</v>
      </c>
      <c r="D73" s="216" t="s">
        <v>415</v>
      </c>
      <c r="E73" s="216" t="s">
        <v>538</v>
      </c>
      <c r="F73" s="216" t="s">
        <v>534</v>
      </c>
      <c r="G73" s="216"/>
      <c r="H73" s="216" t="s">
        <v>419</v>
      </c>
      <c r="I73" s="316" t="n">
        <v>45658</v>
      </c>
      <c r="J73" s="315" t="s">
        <v>420</v>
      </c>
      <c r="K73" s="315" t="s">
        <v>421</v>
      </c>
      <c r="L73" s="317" t="n">
        <v>77000</v>
      </c>
      <c r="M73" s="317"/>
      <c r="N73" s="317" t="n">
        <f aca="false">L73+IF(M73="",0,M73)</f>
        <v>77000</v>
      </c>
    </row>
    <row r="74" customFormat="false" ht="15" hidden="false" customHeight="true" outlineLevel="0" collapsed="false">
      <c r="A74" s="315" t="n">
        <v>73</v>
      </c>
      <c r="B74" s="216" t="s">
        <v>543</v>
      </c>
      <c r="C74" s="216" t="s">
        <v>532</v>
      </c>
      <c r="D74" s="216" t="s">
        <v>415</v>
      </c>
      <c r="E74" s="216" t="s">
        <v>540</v>
      </c>
      <c r="F74" s="216" t="s">
        <v>534</v>
      </c>
      <c r="G74" s="216"/>
      <c r="H74" s="216" t="s">
        <v>419</v>
      </c>
      <c r="I74" s="316" t="n">
        <v>45658</v>
      </c>
      <c r="J74" s="315" t="s">
        <v>420</v>
      </c>
      <c r="K74" s="315" t="s">
        <v>421</v>
      </c>
      <c r="L74" s="317" t="n">
        <v>112000</v>
      </c>
      <c r="M74" s="317"/>
      <c r="N74" s="317" t="n">
        <f aca="false">L74+IF(M74="",0,M74)</f>
        <v>112000</v>
      </c>
    </row>
    <row r="75" customFormat="false" ht="15" hidden="false" customHeight="true" outlineLevel="0" collapsed="false">
      <c r="A75" s="315" t="n">
        <v>74</v>
      </c>
      <c r="B75" s="216" t="s">
        <v>544</v>
      </c>
      <c r="C75" s="216" t="s">
        <v>545</v>
      </c>
      <c r="D75" s="216" t="s">
        <v>415</v>
      </c>
      <c r="E75" s="216" t="s">
        <v>546</v>
      </c>
      <c r="F75" s="216" t="s">
        <v>534</v>
      </c>
      <c r="G75" s="216"/>
      <c r="H75" s="216" t="s">
        <v>419</v>
      </c>
      <c r="I75" s="316" t="n">
        <v>45658</v>
      </c>
      <c r="J75" s="315" t="s">
        <v>420</v>
      </c>
      <c r="K75" s="315" t="s">
        <v>421</v>
      </c>
      <c r="L75" s="317" t="n">
        <v>95000</v>
      </c>
      <c r="M75" s="317"/>
      <c r="N75" s="317" t="n">
        <f aca="false">L75+IF(M75="",0,M75)</f>
        <v>95000</v>
      </c>
    </row>
    <row r="76" customFormat="false" ht="15" hidden="false" customHeight="true" outlineLevel="0" collapsed="false">
      <c r="A76" s="315" t="n">
        <v>75</v>
      </c>
      <c r="B76" s="216" t="s">
        <v>547</v>
      </c>
      <c r="C76" s="216" t="s">
        <v>545</v>
      </c>
      <c r="D76" s="216" t="s">
        <v>415</v>
      </c>
      <c r="E76" s="216" t="s">
        <v>548</v>
      </c>
      <c r="F76" s="216" t="s">
        <v>534</v>
      </c>
      <c r="G76" s="216"/>
      <c r="H76" s="216" t="s">
        <v>419</v>
      </c>
      <c r="I76" s="316" t="n">
        <v>45658</v>
      </c>
      <c r="J76" s="315" t="s">
        <v>420</v>
      </c>
      <c r="K76" s="315" t="s">
        <v>421</v>
      </c>
      <c r="L76" s="317" t="n">
        <v>116000</v>
      </c>
      <c r="M76" s="317"/>
      <c r="N76" s="317" t="n">
        <f aca="false">L76+IF(M76="",0,M76)</f>
        <v>116000</v>
      </c>
    </row>
    <row r="77" customFormat="false" ht="15" hidden="false" customHeight="true" outlineLevel="0" collapsed="false">
      <c r="A77" s="315" t="n">
        <v>76</v>
      </c>
      <c r="B77" s="216" t="s">
        <v>549</v>
      </c>
      <c r="C77" s="216" t="s">
        <v>545</v>
      </c>
      <c r="D77" s="216" t="s">
        <v>415</v>
      </c>
      <c r="E77" s="216" t="s">
        <v>550</v>
      </c>
      <c r="F77" s="216" t="s">
        <v>534</v>
      </c>
      <c r="G77" s="216"/>
      <c r="H77" s="216" t="s">
        <v>419</v>
      </c>
      <c r="I77" s="316" t="n">
        <v>45658</v>
      </c>
      <c r="J77" s="315" t="s">
        <v>420</v>
      </c>
      <c r="K77" s="315" t="s">
        <v>421</v>
      </c>
      <c r="L77" s="317" t="n">
        <v>81000</v>
      </c>
      <c r="M77" s="317"/>
      <c r="N77" s="317" t="n">
        <f aca="false">L77+IF(M77="",0,M77)</f>
        <v>81000</v>
      </c>
    </row>
    <row r="78" customFormat="false" ht="15" hidden="false" customHeight="true" outlineLevel="0" collapsed="false">
      <c r="A78" s="315" t="n">
        <v>77</v>
      </c>
      <c r="B78" s="216" t="s">
        <v>551</v>
      </c>
      <c r="C78" s="216" t="s">
        <v>545</v>
      </c>
      <c r="D78" s="216" t="s">
        <v>415</v>
      </c>
      <c r="E78" s="216" t="s">
        <v>548</v>
      </c>
      <c r="F78" s="216" t="s">
        <v>534</v>
      </c>
      <c r="G78" s="216"/>
      <c r="H78" s="216" t="s">
        <v>419</v>
      </c>
      <c r="I78" s="316" t="n">
        <v>45658</v>
      </c>
      <c r="J78" s="315" t="s">
        <v>420</v>
      </c>
      <c r="K78" s="315" t="s">
        <v>421</v>
      </c>
      <c r="L78" s="317" t="n">
        <v>119000</v>
      </c>
      <c r="M78" s="317"/>
      <c r="N78" s="317" t="n">
        <f aca="false">L78+IF(M78="",0,M78)</f>
        <v>119000</v>
      </c>
    </row>
    <row r="79" customFormat="false" ht="15" hidden="false" customHeight="true" outlineLevel="0" collapsed="false">
      <c r="A79" s="315" t="n">
        <v>78</v>
      </c>
      <c r="B79" s="216" t="s">
        <v>552</v>
      </c>
      <c r="C79" s="216" t="s">
        <v>414</v>
      </c>
      <c r="D79" s="216" t="s">
        <v>415</v>
      </c>
      <c r="E79" s="216" t="s">
        <v>553</v>
      </c>
      <c r="F79" s="216" t="s">
        <v>417</v>
      </c>
      <c r="G79" s="216" t="s">
        <v>418</v>
      </c>
      <c r="H79" s="216" t="s">
        <v>419</v>
      </c>
      <c r="I79" s="316" t="n">
        <v>45689</v>
      </c>
      <c r="J79" s="315" t="s">
        <v>420</v>
      </c>
      <c r="K79" s="315" t="s">
        <v>421</v>
      </c>
      <c r="L79" s="317" t="n">
        <v>86000</v>
      </c>
      <c r="M79" s="317" t="n">
        <v>21500</v>
      </c>
      <c r="N79" s="317" t="n">
        <f aca="false">L79+IF(M79="",0,M79)</f>
        <v>107500</v>
      </c>
    </row>
    <row r="80" customFormat="false" ht="15" hidden="false" customHeight="true" outlineLevel="0" collapsed="false">
      <c r="A80" s="315" t="n">
        <v>79</v>
      </c>
      <c r="B80" s="216" t="s">
        <v>554</v>
      </c>
      <c r="C80" s="216" t="s">
        <v>456</v>
      </c>
      <c r="D80" s="216" t="s">
        <v>415</v>
      </c>
      <c r="E80" s="216" t="s">
        <v>462</v>
      </c>
      <c r="F80" s="216" t="s">
        <v>126</v>
      </c>
      <c r="G80" s="216"/>
      <c r="H80" s="216" t="s">
        <v>419</v>
      </c>
      <c r="I80" s="316" t="n">
        <v>45689</v>
      </c>
      <c r="J80" s="315" t="s">
        <v>420</v>
      </c>
      <c r="K80" s="315" t="s">
        <v>421</v>
      </c>
      <c r="L80" s="317" t="n">
        <v>165000</v>
      </c>
      <c r="M80" s="317"/>
      <c r="N80" s="317" t="n">
        <f aca="false">L80+IF(M80="",0,M80)</f>
        <v>165000</v>
      </c>
    </row>
    <row r="81" customFormat="false" ht="15" hidden="false" customHeight="true" outlineLevel="0" collapsed="false">
      <c r="A81" s="315" t="n">
        <v>80</v>
      </c>
      <c r="B81" s="216" t="s">
        <v>555</v>
      </c>
      <c r="C81" s="216" t="s">
        <v>489</v>
      </c>
      <c r="D81" s="216" t="s">
        <v>415</v>
      </c>
      <c r="E81" s="216" t="s">
        <v>490</v>
      </c>
      <c r="F81" s="216" t="s">
        <v>491</v>
      </c>
      <c r="G81" s="216" t="s">
        <v>492</v>
      </c>
      <c r="H81" s="216" t="s">
        <v>419</v>
      </c>
      <c r="I81" s="316" t="n">
        <v>45689</v>
      </c>
      <c r="J81" s="315" t="s">
        <v>420</v>
      </c>
      <c r="K81" s="315" t="s">
        <v>421</v>
      </c>
      <c r="L81" s="317" t="n">
        <v>165000</v>
      </c>
      <c r="M81" s="317" t="n">
        <v>165000</v>
      </c>
      <c r="N81" s="317" t="n">
        <f aca="false">L81+IF(M81="",0,M81)</f>
        <v>330000</v>
      </c>
    </row>
    <row r="82" customFormat="false" ht="15" hidden="false" customHeight="true" outlineLevel="0" collapsed="false">
      <c r="A82" s="315" t="n">
        <v>81</v>
      </c>
      <c r="B82" s="216" t="s">
        <v>556</v>
      </c>
      <c r="C82" s="216" t="s">
        <v>532</v>
      </c>
      <c r="D82" s="216" t="s">
        <v>415</v>
      </c>
      <c r="E82" s="216" t="s">
        <v>540</v>
      </c>
      <c r="F82" s="216" t="s">
        <v>534</v>
      </c>
      <c r="G82" s="216"/>
      <c r="H82" s="216" t="s">
        <v>419</v>
      </c>
      <c r="I82" s="316" t="n">
        <v>45689</v>
      </c>
      <c r="J82" s="315" t="s">
        <v>420</v>
      </c>
      <c r="K82" s="315" t="s">
        <v>421</v>
      </c>
      <c r="L82" s="317" t="n">
        <v>122000</v>
      </c>
      <c r="M82" s="317"/>
      <c r="N82" s="317" t="n">
        <f aca="false">L82+IF(M82="",0,M82)</f>
        <v>122000</v>
      </c>
    </row>
    <row r="83" customFormat="false" ht="15" hidden="false" customHeight="true" outlineLevel="0" collapsed="false">
      <c r="A83" s="315" t="n">
        <v>82</v>
      </c>
      <c r="B83" s="216" t="s">
        <v>557</v>
      </c>
      <c r="C83" s="216" t="s">
        <v>520</v>
      </c>
      <c r="D83" s="216" t="s">
        <v>415</v>
      </c>
      <c r="E83" s="216" t="s">
        <v>558</v>
      </c>
      <c r="F83" s="216" t="s">
        <v>491</v>
      </c>
      <c r="G83" s="216"/>
      <c r="H83" s="216" t="s">
        <v>419</v>
      </c>
      <c r="I83" s="316" t="n">
        <v>45717</v>
      </c>
      <c r="J83" s="315" t="s">
        <v>420</v>
      </c>
      <c r="K83" s="315" t="s">
        <v>421</v>
      </c>
      <c r="L83" s="317" t="n">
        <v>110000</v>
      </c>
      <c r="M83" s="317" t="n">
        <v>27500</v>
      </c>
      <c r="N83" s="317" t="n">
        <f aca="false">L83+IF(M83="",0,M83)</f>
        <v>137500</v>
      </c>
    </row>
    <row r="84" customFormat="false" ht="15" hidden="false" customHeight="true" outlineLevel="0" collapsed="false">
      <c r="A84" s="315" t="n">
        <v>83</v>
      </c>
      <c r="B84" s="216" t="s">
        <v>559</v>
      </c>
      <c r="C84" s="216" t="s">
        <v>456</v>
      </c>
      <c r="D84" s="216" t="s">
        <v>415</v>
      </c>
      <c r="E84" s="216" t="s">
        <v>469</v>
      </c>
      <c r="F84" s="216" t="s">
        <v>126</v>
      </c>
      <c r="G84" s="216"/>
      <c r="H84" s="216" t="s">
        <v>419</v>
      </c>
      <c r="I84" s="316" t="n">
        <v>45809</v>
      </c>
      <c r="J84" s="315" t="s">
        <v>420</v>
      </c>
      <c r="K84" s="315" t="s">
        <v>421</v>
      </c>
      <c r="L84" s="317" t="n">
        <v>204000</v>
      </c>
      <c r="M84" s="317"/>
      <c r="N84" s="317" t="n">
        <f aca="false">L84+IF(M84="",0,M84)</f>
        <v>204000</v>
      </c>
    </row>
    <row r="85" customFormat="false" ht="15" hidden="false" customHeight="true" outlineLevel="0" collapsed="false">
      <c r="A85" s="315" t="n">
        <v>84</v>
      </c>
      <c r="B85" s="216" t="s">
        <v>560</v>
      </c>
      <c r="C85" s="216" t="s">
        <v>489</v>
      </c>
      <c r="D85" s="216" t="s">
        <v>415</v>
      </c>
      <c r="E85" s="216" t="s">
        <v>490</v>
      </c>
      <c r="F85" s="216" t="s">
        <v>491</v>
      </c>
      <c r="G85" s="216" t="s">
        <v>492</v>
      </c>
      <c r="H85" s="216" t="s">
        <v>419</v>
      </c>
      <c r="I85" s="316" t="n">
        <v>45809</v>
      </c>
      <c r="J85" s="315" t="s">
        <v>420</v>
      </c>
      <c r="K85" s="315" t="s">
        <v>421</v>
      </c>
      <c r="L85" s="317" t="n">
        <v>152000</v>
      </c>
      <c r="M85" s="317" t="n">
        <v>152000</v>
      </c>
      <c r="N85" s="317" t="n">
        <f aca="false">L85+IF(M85="",0,M85)</f>
        <v>304000</v>
      </c>
    </row>
    <row r="86" customFormat="false" ht="15" hidden="false" customHeight="true" outlineLevel="0" collapsed="false">
      <c r="A86" s="315" t="n">
        <v>85</v>
      </c>
      <c r="B86" s="216" t="s">
        <v>561</v>
      </c>
      <c r="C86" s="216" t="s">
        <v>508</v>
      </c>
      <c r="D86" s="216" t="s">
        <v>415</v>
      </c>
      <c r="E86" s="216" t="s">
        <v>511</v>
      </c>
      <c r="F86" s="216" t="s">
        <v>491</v>
      </c>
      <c r="G86" s="216" t="s">
        <v>492</v>
      </c>
      <c r="H86" s="216" t="s">
        <v>419</v>
      </c>
      <c r="I86" s="316" t="n">
        <v>45809</v>
      </c>
      <c r="J86" s="315" t="s">
        <v>420</v>
      </c>
      <c r="K86" s="315" t="s">
        <v>421</v>
      </c>
      <c r="L86" s="317" t="n">
        <v>101000</v>
      </c>
      <c r="M86" s="317" t="n">
        <v>101000</v>
      </c>
      <c r="N86" s="317" t="n">
        <f aca="false">L86+IF(M86="",0,M86)</f>
        <v>202000</v>
      </c>
    </row>
    <row r="87" customFormat="false" ht="15" hidden="false" customHeight="true" outlineLevel="0" collapsed="false">
      <c r="A87" s="315" t="n">
        <v>86</v>
      </c>
      <c r="B87" s="216" t="s">
        <v>562</v>
      </c>
      <c r="C87" s="216" t="s">
        <v>520</v>
      </c>
      <c r="D87" s="216" t="s">
        <v>415</v>
      </c>
      <c r="E87" s="216" t="s">
        <v>563</v>
      </c>
      <c r="F87" s="216" t="s">
        <v>491</v>
      </c>
      <c r="G87" s="216"/>
      <c r="H87" s="216" t="s">
        <v>419</v>
      </c>
      <c r="I87" s="316" t="n">
        <v>45809</v>
      </c>
      <c r="J87" s="315" t="s">
        <v>420</v>
      </c>
      <c r="K87" s="315" t="s">
        <v>421</v>
      </c>
      <c r="L87" s="317" t="n">
        <v>97000</v>
      </c>
      <c r="M87" s="317" t="n">
        <v>24250</v>
      </c>
      <c r="N87" s="317" t="n">
        <f aca="false">L87+IF(M87="",0,M87)</f>
        <v>121250</v>
      </c>
    </row>
    <row r="88" customFormat="false" ht="15" hidden="false" customHeight="true" outlineLevel="0" collapsed="false">
      <c r="A88" s="315" t="n">
        <v>87</v>
      </c>
      <c r="B88" s="216" t="s">
        <v>564</v>
      </c>
      <c r="C88" s="216" t="s">
        <v>414</v>
      </c>
      <c r="D88" s="216" t="s">
        <v>415</v>
      </c>
      <c r="E88" s="216" t="s">
        <v>416</v>
      </c>
      <c r="F88" s="216" t="s">
        <v>417</v>
      </c>
      <c r="G88" s="216" t="s">
        <v>418</v>
      </c>
      <c r="H88" s="216" t="s">
        <v>419</v>
      </c>
      <c r="I88" s="316" t="n">
        <v>45870</v>
      </c>
      <c r="J88" s="315" t="s">
        <v>420</v>
      </c>
      <c r="K88" s="315" t="s">
        <v>421</v>
      </c>
      <c r="L88" s="317" t="n">
        <v>105000</v>
      </c>
      <c r="M88" s="317" t="n">
        <v>26250</v>
      </c>
      <c r="N88" s="317" t="n">
        <f aca="false">L88+IF(M88="",0,M88)</f>
        <v>131250</v>
      </c>
    </row>
    <row r="89" customFormat="false" ht="15" hidden="false" customHeight="true" outlineLevel="0" collapsed="false">
      <c r="A89" s="315" t="n">
        <v>88</v>
      </c>
      <c r="B89" s="216" t="s">
        <v>565</v>
      </c>
      <c r="C89" s="216" t="s">
        <v>447</v>
      </c>
      <c r="D89" s="216" t="s">
        <v>415</v>
      </c>
      <c r="E89" s="216" t="s">
        <v>452</v>
      </c>
      <c r="F89" s="216" t="s">
        <v>417</v>
      </c>
      <c r="G89" s="216"/>
      <c r="H89" s="216" t="s">
        <v>419</v>
      </c>
      <c r="I89" s="316" t="n">
        <v>45870</v>
      </c>
      <c r="J89" s="315" t="s">
        <v>420</v>
      </c>
      <c r="K89" s="315" t="s">
        <v>421</v>
      </c>
      <c r="L89" s="317" t="n">
        <v>162000</v>
      </c>
      <c r="M89" s="317"/>
      <c r="N89" s="317" t="n">
        <f aca="false">L89+IF(M89="",0,M89)</f>
        <v>162000</v>
      </c>
    </row>
    <row r="90" customFormat="false" ht="15" hidden="false" customHeight="true" outlineLevel="0" collapsed="false">
      <c r="A90" s="315" t="n">
        <v>89</v>
      </c>
      <c r="B90" s="216" t="s">
        <v>566</v>
      </c>
      <c r="C90" s="216" t="s">
        <v>480</v>
      </c>
      <c r="D90" s="216" t="s">
        <v>415</v>
      </c>
      <c r="E90" s="216" t="s">
        <v>483</v>
      </c>
      <c r="F90" s="216" t="s">
        <v>126</v>
      </c>
      <c r="G90" s="216"/>
      <c r="H90" s="216" t="s">
        <v>419</v>
      </c>
      <c r="I90" s="316" t="n">
        <v>45870</v>
      </c>
      <c r="J90" s="315" t="s">
        <v>420</v>
      </c>
      <c r="K90" s="315" t="s">
        <v>421</v>
      </c>
      <c r="L90" s="317" t="n">
        <v>152000</v>
      </c>
      <c r="M90" s="317"/>
      <c r="N90" s="317" t="n">
        <f aca="false">L90+IF(M90="",0,M90)</f>
        <v>152000</v>
      </c>
    </row>
    <row r="91" customFormat="false" ht="15" hidden="false" customHeight="true" outlineLevel="0" collapsed="false">
      <c r="A91" s="315" t="n">
        <v>90</v>
      </c>
      <c r="B91" s="216" t="s">
        <v>567</v>
      </c>
      <c r="C91" s="216" t="s">
        <v>532</v>
      </c>
      <c r="D91" s="216" t="s">
        <v>415</v>
      </c>
      <c r="E91" s="216" t="s">
        <v>568</v>
      </c>
      <c r="F91" s="216" t="s">
        <v>534</v>
      </c>
      <c r="G91" s="216"/>
      <c r="H91" s="216" t="s">
        <v>419</v>
      </c>
      <c r="I91" s="316" t="n">
        <v>45870</v>
      </c>
      <c r="J91" s="315" t="s">
        <v>420</v>
      </c>
      <c r="K91" s="315" t="s">
        <v>421</v>
      </c>
      <c r="L91" s="317" t="n">
        <v>113000</v>
      </c>
      <c r="M91" s="317"/>
      <c r="N91" s="317" t="n">
        <f aca="false">L91+IF(M91="",0,M91)</f>
        <v>113000</v>
      </c>
    </row>
    <row r="92" customFormat="false" ht="15" hidden="false" customHeight="true" outlineLevel="0" collapsed="false">
      <c r="A92" s="315" t="n">
        <v>91</v>
      </c>
      <c r="B92" s="216" t="s">
        <v>569</v>
      </c>
      <c r="C92" s="216" t="s">
        <v>545</v>
      </c>
      <c r="D92" s="216" t="s">
        <v>415</v>
      </c>
      <c r="E92" s="216" t="s">
        <v>570</v>
      </c>
      <c r="F92" s="216" t="s">
        <v>534</v>
      </c>
      <c r="G92" s="216"/>
      <c r="H92" s="216" t="s">
        <v>419</v>
      </c>
      <c r="I92" s="316" t="n">
        <v>45870</v>
      </c>
      <c r="J92" s="315" t="s">
        <v>420</v>
      </c>
      <c r="K92" s="315" t="s">
        <v>421</v>
      </c>
      <c r="L92" s="317" t="n">
        <v>113000</v>
      </c>
      <c r="M92" s="317"/>
      <c r="N92" s="317" t="n">
        <f aca="false">L92+IF(M92="",0,M92)</f>
        <v>113000</v>
      </c>
    </row>
    <row r="93" customFormat="false" ht="15" hidden="false" customHeight="true" outlineLevel="0" collapsed="false">
      <c r="A93" s="315" t="n">
        <v>92</v>
      </c>
      <c r="B93" s="216" t="s">
        <v>571</v>
      </c>
      <c r="C93" s="216" t="s">
        <v>456</v>
      </c>
      <c r="D93" s="216" t="s">
        <v>415</v>
      </c>
      <c r="E93" s="216" t="s">
        <v>466</v>
      </c>
      <c r="F93" s="216" t="s">
        <v>126</v>
      </c>
      <c r="G93" s="216"/>
      <c r="H93" s="216" t="s">
        <v>419</v>
      </c>
      <c r="I93" s="316" t="n">
        <v>45931</v>
      </c>
      <c r="J93" s="315" t="s">
        <v>420</v>
      </c>
      <c r="K93" s="315" t="s">
        <v>421</v>
      </c>
      <c r="L93" s="317" t="n">
        <v>152000</v>
      </c>
      <c r="M93" s="317"/>
      <c r="N93" s="317" t="n">
        <f aca="false">L93+IF(M93="",0,M93)</f>
        <v>152000</v>
      </c>
    </row>
    <row r="94" customFormat="false" ht="15" hidden="false" customHeight="true" outlineLevel="0" collapsed="false">
      <c r="A94" s="315" t="n">
        <v>93</v>
      </c>
      <c r="B94" s="216" t="s">
        <v>572</v>
      </c>
      <c r="C94" s="216" t="s">
        <v>489</v>
      </c>
      <c r="D94" s="216" t="s">
        <v>415</v>
      </c>
      <c r="E94" s="216" t="s">
        <v>490</v>
      </c>
      <c r="F94" s="216" t="s">
        <v>491</v>
      </c>
      <c r="G94" s="216" t="s">
        <v>492</v>
      </c>
      <c r="H94" s="216" t="s">
        <v>419</v>
      </c>
      <c r="I94" s="316" t="n">
        <v>45931</v>
      </c>
      <c r="J94" s="315" t="s">
        <v>420</v>
      </c>
      <c r="K94" s="315" t="s">
        <v>421</v>
      </c>
      <c r="L94" s="317" t="n">
        <v>163000</v>
      </c>
      <c r="M94" s="317" t="n">
        <v>163000</v>
      </c>
      <c r="N94" s="317" t="n">
        <f aca="false">L94+IF(M94="",0,M94)</f>
        <v>326000</v>
      </c>
    </row>
    <row r="95" customFormat="false" ht="15" hidden="false" customHeight="true" outlineLevel="0" collapsed="false">
      <c r="A95" s="315" t="n">
        <v>94</v>
      </c>
      <c r="B95" s="216" t="s">
        <v>573</v>
      </c>
      <c r="C95" s="216" t="s">
        <v>508</v>
      </c>
      <c r="D95" s="216" t="s">
        <v>415</v>
      </c>
      <c r="E95" s="216" t="s">
        <v>516</v>
      </c>
      <c r="F95" s="216" t="s">
        <v>491</v>
      </c>
      <c r="G95" s="216"/>
      <c r="H95" s="216" t="s">
        <v>419</v>
      </c>
      <c r="I95" s="316" t="n">
        <v>45931</v>
      </c>
      <c r="J95" s="315" t="s">
        <v>420</v>
      </c>
      <c r="K95" s="315" t="s">
        <v>421</v>
      </c>
      <c r="L95" s="317" t="n">
        <v>75000</v>
      </c>
      <c r="M95" s="317" t="n">
        <v>31500</v>
      </c>
      <c r="N95" s="317" t="n">
        <f aca="false">L95+IF(M95="",0,M95)</f>
        <v>106500</v>
      </c>
    </row>
    <row r="96" customFormat="false" ht="15" hidden="false" customHeight="true" outlineLevel="0" collapsed="false">
      <c r="A96" s="315" t="n">
        <v>95</v>
      </c>
      <c r="B96" s="216" t="s">
        <v>574</v>
      </c>
      <c r="C96" s="216" t="s">
        <v>520</v>
      </c>
      <c r="D96" s="216" t="s">
        <v>415</v>
      </c>
      <c r="E96" s="216" t="s">
        <v>558</v>
      </c>
      <c r="F96" s="216" t="s">
        <v>491</v>
      </c>
      <c r="G96" s="216"/>
      <c r="H96" s="216" t="s">
        <v>419</v>
      </c>
      <c r="I96" s="316" t="n">
        <v>45931</v>
      </c>
      <c r="J96" s="315" t="s">
        <v>420</v>
      </c>
      <c r="K96" s="315" t="s">
        <v>421</v>
      </c>
      <c r="L96" s="317" t="n">
        <v>106000</v>
      </c>
      <c r="M96" s="317" t="n">
        <v>26500</v>
      </c>
      <c r="N96" s="317" t="n">
        <f aca="false">L96+IF(M96="",0,M96)</f>
        <v>132500</v>
      </c>
    </row>
    <row r="97" customFormat="false" ht="15" hidden="false" customHeight="true" outlineLevel="0" collapsed="false">
      <c r="A97" s="315" t="n">
        <v>96</v>
      </c>
      <c r="B97" s="216" t="s">
        <v>575</v>
      </c>
      <c r="C97" s="216" t="s">
        <v>456</v>
      </c>
      <c r="D97" s="216" t="s">
        <v>415</v>
      </c>
      <c r="E97" s="216" t="s">
        <v>469</v>
      </c>
      <c r="F97" s="216" t="s">
        <v>126</v>
      </c>
      <c r="G97" s="216"/>
      <c r="H97" s="216" t="s">
        <v>419</v>
      </c>
      <c r="I97" s="316" t="n">
        <v>46023</v>
      </c>
      <c r="J97" s="315" t="s">
        <v>420</v>
      </c>
      <c r="K97" s="315" t="s">
        <v>421</v>
      </c>
      <c r="L97" s="317" t="n">
        <v>205000</v>
      </c>
      <c r="M97" s="317"/>
      <c r="N97" s="317" t="n">
        <f aca="false">L97+IF(M97="",0,M97)</f>
        <v>205000</v>
      </c>
    </row>
    <row r="98" customFormat="false" ht="15" hidden="false" customHeight="true" outlineLevel="0" collapsed="false">
      <c r="A98" s="315" t="n">
        <v>97</v>
      </c>
      <c r="B98" s="216" t="s">
        <v>576</v>
      </c>
      <c r="C98" s="216" t="s">
        <v>414</v>
      </c>
      <c r="D98" s="216" t="s">
        <v>415</v>
      </c>
      <c r="E98" s="216" t="s">
        <v>553</v>
      </c>
      <c r="F98" s="216" t="s">
        <v>417</v>
      </c>
      <c r="G98" s="216" t="s">
        <v>418</v>
      </c>
      <c r="H98" s="216" t="s">
        <v>419</v>
      </c>
      <c r="I98" s="316" t="n">
        <v>46054</v>
      </c>
      <c r="J98" s="315" t="s">
        <v>420</v>
      </c>
      <c r="K98" s="315" t="s">
        <v>421</v>
      </c>
      <c r="L98" s="317" t="n">
        <v>91000</v>
      </c>
      <c r="M98" s="317" t="n">
        <v>22750</v>
      </c>
      <c r="N98" s="317" t="n">
        <f aca="false">L98+IF(M98="",0,M98)</f>
        <v>113750</v>
      </c>
    </row>
    <row r="99" customFormat="false" ht="15" hidden="false" customHeight="true" outlineLevel="0" collapsed="false">
      <c r="A99" s="315" t="n">
        <v>98</v>
      </c>
      <c r="B99" s="216" t="s">
        <v>577</v>
      </c>
      <c r="C99" s="216" t="s">
        <v>447</v>
      </c>
      <c r="D99" s="216" t="s">
        <v>415</v>
      </c>
      <c r="E99" s="216" t="s">
        <v>450</v>
      </c>
      <c r="F99" s="216" t="s">
        <v>417</v>
      </c>
      <c r="G99" s="216"/>
      <c r="H99" s="216" t="s">
        <v>419</v>
      </c>
      <c r="I99" s="316" t="n">
        <v>46054</v>
      </c>
      <c r="J99" s="315" t="s">
        <v>420</v>
      </c>
      <c r="K99" s="315" t="s">
        <v>421</v>
      </c>
      <c r="L99" s="317" t="n">
        <v>146000</v>
      </c>
      <c r="M99" s="317"/>
      <c r="N99" s="317" t="n">
        <f aca="false">L99+IF(M99="",0,M99)</f>
        <v>146000</v>
      </c>
    </row>
    <row r="100" customFormat="false" ht="15" hidden="false" customHeight="true" outlineLevel="0" collapsed="false">
      <c r="A100" s="315" t="n">
        <v>99</v>
      </c>
      <c r="B100" s="216" t="s">
        <v>578</v>
      </c>
      <c r="C100" s="216" t="s">
        <v>489</v>
      </c>
      <c r="D100" s="216" t="s">
        <v>415</v>
      </c>
      <c r="E100" s="216" t="s">
        <v>495</v>
      </c>
      <c r="F100" s="216" t="s">
        <v>491</v>
      </c>
      <c r="G100" s="216" t="s">
        <v>492</v>
      </c>
      <c r="H100" s="216" t="s">
        <v>419</v>
      </c>
      <c r="I100" s="316" t="n">
        <v>46054</v>
      </c>
      <c r="J100" s="315" t="s">
        <v>420</v>
      </c>
      <c r="K100" s="315" t="s">
        <v>421</v>
      </c>
      <c r="L100" s="317" t="n">
        <v>137000</v>
      </c>
      <c r="M100" s="317" t="n">
        <v>137000</v>
      </c>
      <c r="N100" s="317" t="n">
        <f aca="false">L100+IF(M100="",0,M100)</f>
        <v>274000</v>
      </c>
    </row>
    <row r="101" customFormat="false" ht="15" hidden="false" customHeight="true" outlineLevel="0" collapsed="false">
      <c r="A101" s="315" t="n">
        <v>100</v>
      </c>
      <c r="B101" s="216" t="s">
        <v>579</v>
      </c>
      <c r="C101" s="216" t="s">
        <v>520</v>
      </c>
      <c r="D101" s="216" t="s">
        <v>415</v>
      </c>
      <c r="E101" s="216" t="s">
        <v>580</v>
      </c>
      <c r="F101" s="216" t="s">
        <v>491</v>
      </c>
      <c r="G101" s="216"/>
      <c r="H101" s="216" t="s">
        <v>419</v>
      </c>
      <c r="I101" s="316" t="n">
        <v>46054</v>
      </c>
      <c r="J101" s="315" t="s">
        <v>420</v>
      </c>
      <c r="K101" s="315" t="s">
        <v>421</v>
      </c>
      <c r="L101" s="317" t="n">
        <v>88000</v>
      </c>
      <c r="M101" s="317" t="n">
        <v>22000</v>
      </c>
      <c r="N101" s="317" t="n">
        <f aca="false">L101+IF(M101="",0,M101)</f>
        <v>110000</v>
      </c>
    </row>
    <row r="102" customFormat="false" ht="15" hidden="false" customHeight="true" outlineLevel="0" collapsed="false">
      <c r="A102" s="315" t="n">
        <v>101</v>
      </c>
      <c r="B102" s="216" t="s">
        <v>581</v>
      </c>
      <c r="C102" s="216" t="s">
        <v>456</v>
      </c>
      <c r="D102" s="216" t="s">
        <v>415</v>
      </c>
      <c r="E102" s="216" t="s">
        <v>462</v>
      </c>
      <c r="F102" s="216" t="s">
        <v>126</v>
      </c>
      <c r="G102" s="216"/>
      <c r="H102" s="216" t="s">
        <v>419</v>
      </c>
      <c r="I102" s="316" t="n">
        <v>46082</v>
      </c>
      <c r="J102" s="315" t="s">
        <v>420</v>
      </c>
      <c r="K102" s="315" t="s">
        <v>421</v>
      </c>
      <c r="L102" s="317" t="n">
        <v>150000</v>
      </c>
      <c r="M102" s="317"/>
      <c r="N102" s="317" t="n">
        <f aca="false">L102+IF(M102="",0,M102)</f>
        <v>150000</v>
      </c>
    </row>
    <row r="103" customFormat="false" ht="15" hidden="false" customHeight="true" outlineLevel="0" collapsed="false">
      <c r="A103" s="315" t="n">
        <v>102</v>
      </c>
      <c r="B103" s="216" t="s">
        <v>582</v>
      </c>
      <c r="C103" s="216" t="s">
        <v>447</v>
      </c>
      <c r="D103" s="216" t="s">
        <v>415</v>
      </c>
      <c r="E103" s="216" t="s">
        <v>454</v>
      </c>
      <c r="F103" s="216" t="s">
        <v>417</v>
      </c>
      <c r="G103" s="216"/>
      <c r="H103" s="216" t="s">
        <v>583</v>
      </c>
      <c r="I103" s="316" t="n">
        <v>46113</v>
      </c>
      <c r="J103" s="315" t="s">
        <v>420</v>
      </c>
      <c r="K103" s="315" t="s">
        <v>421</v>
      </c>
      <c r="L103" s="317" t="n">
        <v>184000</v>
      </c>
      <c r="M103" s="317"/>
      <c r="N103" s="317" t="n">
        <f aca="false">L103+IF(M103="",0,M103)</f>
        <v>184000</v>
      </c>
    </row>
    <row r="104" customFormat="false" ht="15" hidden="false" customHeight="true" outlineLevel="0" collapsed="false">
      <c r="A104" s="315" t="n">
        <v>103</v>
      </c>
      <c r="B104" s="216" t="s">
        <v>584</v>
      </c>
      <c r="C104" s="216" t="s">
        <v>456</v>
      </c>
      <c r="D104" s="216" t="s">
        <v>415</v>
      </c>
      <c r="E104" s="216" t="s">
        <v>462</v>
      </c>
      <c r="F104" s="216" t="s">
        <v>126</v>
      </c>
      <c r="G104" s="216"/>
      <c r="H104" s="216" t="s">
        <v>583</v>
      </c>
      <c r="I104" s="316" t="n">
        <v>46113</v>
      </c>
      <c r="J104" s="315" t="s">
        <v>420</v>
      </c>
      <c r="K104" s="315" t="s">
        <v>421</v>
      </c>
      <c r="L104" s="317" t="n">
        <v>149000</v>
      </c>
      <c r="M104" s="317"/>
      <c r="N104" s="317" t="n">
        <f aca="false">L104+IF(M104="",0,M104)</f>
        <v>149000</v>
      </c>
    </row>
    <row r="105" customFormat="false" ht="15" hidden="false" customHeight="true" outlineLevel="0" collapsed="false">
      <c r="A105" s="315" t="n">
        <v>104</v>
      </c>
      <c r="B105" s="216" t="s">
        <v>585</v>
      </c>
      <c r="C105" s="216" t="s">
        <v>480</v>
      </c>
      <c r="D105" s="216" t="s">
        <v>415</v>
      </c>
      <c r="E105" s="216" t="s">
        <v>486</v>
      </c>
      <c r="F105" s="216" t="s">
        <v>126</v>
      </c>
      <c r="G105" s="216"/>
      <c r="H105" s="216" t="s">
        <v>583</v>
      </c>
      <c r="I105" s="316" t="n">
        <v>46113</v>
      </c>
      <c r="J105" s="315" t="s">
        <v>420</v>
      </c>
      <c r="K105" s="315" t="s">
        <v>421</v>
      </c>
      <c r="L105" s="317" t="n">
        <v>199000</v>
      </c>
      <c r="M105" s="317"/>
      <c r="N105" s="317" t="n">
        <f aca="false">L105+IF(M105="",0,M105)</f>
        <v>199000</v>
      </c>
    </row>
    <row r="106" customFormat="false" ht="15" hidden="false" customHeight="true" outlineLevel="0" collapsed="false">
      <c r="A106" s="315" t="n">
        <v>105</v>
      </c>
      <c r="B106" s="216" t="s">
        <v>586</v>
      </c>
      <c r="C106" s="216" t="s">
        <v>489</v>
      </c>
      <c r="D106" s="216" t="s">
        <v>415</v>
      </c>
      <c r="E106" s="216" t="s">
        <v>503</v>
      </c>
      <c r="F106" s="216" t="s">
        <v>491</v>
      </c>
      <c r="G106" s="216"/>
      <c r="H106" s="216" t="s">
        <v>583</v>
      </c>
      <c r="I106" s="316" t="n">
        <v>46113</v>
      </c>
      <c r="J106" s="315" t="s">
        <v>420</v>
      </c>
      <c r="K106" s="315" t="s">
        <v>421</v>
      </c>
      <c r="L106" s="317" t="n">
        <v>209000</v>
      </c>
      <c r="M106" s="317" t="n">
        <v>140030</v>
      </c>
      <c r="N106" s="317" t="n">
        <f aca="false">L106+IF(M106="",0,M106)</f>
        <v>349030</v>
      </c>
    </row>
    <row r="107" customFormat="false" ht="15" hidden="false" customHeight="true" outlineLevel="0" collapsed="false">
      <c r="A107" s="315" t="n">
        <v>106</v>
      </c>
      <c r="B107" s="216" t="s">
        <v>587</v>
      </c>
      <c r="C107" s="216" t="s">
        <v>489</v>
      </c>
      <c r="D107" s="216" t="s">
        <v>415</v>
      </c>
      <c r="E107" s="216" t="s">
        <v>495</v>
      </c>
      <c r="F107" s="216" t="s">
        <v>491</v>
      </c>
      <c r="G107" s="216" t="s">
        <v>492</v>
      </c>
      <c r="H107" s="216" t="s">
        <v>583</v>
      </c>
      <c r="I107" s="316" t="n">
        <v>46113</v>
      </c>
      <c r="J107" s="315" t="s">
        <v>420</v>
      </c>
      <c r="K107" s="315" t="s">
        <v>421</v>
      </c>
      <c r="L107" s="317" t="n">
        <v>133000</v>
      </c>
      <c r="M107" s="317" t="n">
        <v>133000</v>
      </c>
      <c r="N107" s="317" t="n">
        <f aca="false">L107+IF(M107="",0,M107)</f>
        <v>266000</v>
      </c>
    </row>
    <row r="108" customFormat="false" ht="15" hidden="false" customHeight="true" outlineLevel="0" collapsed="false">
      <c r="A108" s="315" t="n">
        <v>107</v>
      </c>
      <c r="B108" s="216" t="s">
        <v>588</v>
      </c>
      <c r="C108" s="216" t="s">
        <v>489</v>
      </c>
      <c r="D108" s="216" t="s">
        <v>415</v>
      </c>
      <c r="E108" s="216" t="s">
        <v>495</v>
      </c>
      <c r="F108" s="216" t="s">
        <v>491</v>
      </c>
      <c r="G108" s="216" t="s">
        <v>492</v>
      </c>
      <c r="H108" s="216" t="s">
        <v>583</v>
      </c>
      <c r="I108" s="316" t="n">
        <v>46113</v>
      </c>
      <c r="J108" s="315" t="s">
        <v>420</v>
      </c>
      <c r="K108" s="315" t="s">
        <v>421</v>
      </c>
      <c r="L108" s="317" t="n">
        <v>124000</v>
      </c>
      <c r="M108" s="317" t="n">
        <v>124000</v>
      </c>
      <c r="N108" s="317" t="n">
        <f aca="false">L108+IF(M108="",0,M108)</f>
        <v>248000</v>
      </c>
    </row>
    <row r="109" customFormat="false" ht="15" hidden="false" customHeight="true" outlineLevel="0" collapsed="false">
      <c r="A109" s="315" t="n">
        <v>108</v>
      </c>
      <c r="B109" s="216" t="s">
        <v>589</v>
      </c>
      <c r="C109" s="216" t="s">
        <v>508</v>
      </c>
      <c r="D109" s="216" t="s">
        <v>415</v>
      </c>
      <c r="E109" s="216" t="s">
        <v>516</v>
      </c>
      <c r="F109" s="216" t="s">
        <v>491</v>
      </c>
      <c r="G109" s="216"/>
      <c r="H109" s="216" t="s">
        <v>583</v>
      </c>
      <c r="I109" s="316" t="n">
        <v>46113</v>
      </c>
      <c r="J109" s="315" t="s">
        <v>420</v>
      </c>
      <c r="K109" s="315" t="s">
        <v>421</v>
      </c>
      <c r="L109" s="317" t="n">
        <v>72000</v>
      </c>
      <c r="M109" s="317" t="n">
        <v>30240</v>
      </c>
      <c r="N109" s="317" t="n">
        <f aca="false">L109+IF(M109="",0,M109)</f>
        <v>102240</v>
      </c>
    </row>
    <row r="110" customFormat="false" ht="15" hidden="false" customHeight="true" outlineLevel="0" collapsed="false">
      <c r="A110" s="315" t="n">
        <v>109</v>
      </c>
      <c r="B110" s="216" t="s">
        <v>590</v>
      </c>
      <c r="C110" s="216" t="s">
        <v>508</v>
      </c>
      <c r="D110" s="216" t="s">
        <v>415</v>
      </c>
      <c r="E110" s="216" t="s">
        <v>511</v>
      </c>
      <c r="F110" s="216" t="s">
        <v>491</v>
      </c>
      <c r="G110" s="216" t="s">
        <v>492</v>
      </c>
      <c r="H110" s="216" t="s">
        <v>583</v>
      </c>
      <c r="I110" s="316" t="n">
        <v>46113</v>
      </c>
      <c r="J110" s="315" t="s">
        <v>420</v>
      </c>
      <c r="K110" s="315" t="s">
        <v>421</v>
      </c>
      <c r="L110" s="317" t="n">
        <v>103000</v>
      </c>
      <c r="M110" s="317" t="n">
        <v>103000</v>
      </c>
      <c r="N110" s="317" t="n">
        <f aca="false">L110+IF(M110="",0,M110)</f>
        <v>206000</v>
      </c>
    </row>
    <row r="111" customFormat="false" ht="15" hidden="false" customHeight="true" outlineLevel="0" collapsed="false">
      <c r="A111" s="315" t="n">
        <v>110</v>
      </c>
      <c r="B111" s="216" t="s">
        <v>591</v>
      </c>
      <c r="C111" s="216" t="s">
        <v>520</v>
      </c>
      <c r="D111" s="216" t="s">
        <v>415</v>
      </c>
      <c r="E111" s="216" t="s">
        <v>563</v>
      </c>
      <c r="F111" s="216" t="s">
        <v>491</v>
      </c>
      <c r="G111" s="216"/>
      <c r="H111" s="216" t="s">
        <v>583</v>
      </c>
      <c r="I111" s="316" t="n">
        <v>46113</v>
      </c>
      <c r="J111" s="315" t="s">
        <v>420</v>
      </c>
      <c r="K111" s="315" t="s">
        <v>421</v>
      </c>
      <c r="L111" s="317" t="n">
        <v>110000</v>
      </c>
      <c r="M111" s="317" t="n">
        <v>27500</v>
      </c>
      <c r="N111" s="317" t="n">
        <f aca="false">L111+IF(M111="",0,M111)</f>
        <v>137500</v>
      </c>
    </row>
    <row r="112" customFormat="false" ht="15" hidden="false" customHeight="true" outlineLevel="0" collapsed="false">
      <c r="A112" s="315" t="n">
        <v>111</v>
      </c>
      <c r="B112" s="216" t="s">
        <v>592</v>
      </c>
      <c r="C112" s="216" t="s">
        <v>414</v>
      </c>
      <c r="D112" s="216" t="s">
        <v>415</v>
      </c>
      <c r="E112" s="216" t="s">
        <v>416</v>
      </c>
      <c r="F112" s="216" t="s">
        <v>417</v>
      </c>
      <c r="G112" s="216" t="s">
        <v>418</v>
      </c>
      <c r="H112" s="216" t="s">
        <v>583</v>
      </c>
      <c r="I112" s="316" t="n">
        <v>46143</v>
      </c>
      <c r="J112" s="315" t="s">
        <v>420</v>
      </c>
      <c r="K112" s="315" t="s">
        <v>421</v>
      </c>
      <c r="L112" s="317" t="n">
        <v>111000</v>
      </c>
      <c r="M112" s="317" t="n">
        <v>27750</v>
      </c>
      <c r="N112" s="317" t="n">
        <f aca="false">L112+IF(M112="",0,M112)</f>
        <v>138750</v>
      </c>
    </row>
    <row r="113" customFormat="false" ht="15" hidden="false" customHeight="true" outlineLevel="0" collapsed="false">
      <c r="A113" s="315" t="n">
        <v>112</v>
      </c>
      <c r="B113" s="216" t="s">
        <v>593</v>
      </c>
      <c r="C113" s="216" t="s">
        <v>447</v>
      </c>
      <c r="D113" s="216" t="s">
        <v>415</v>
      </c>
      <c r="E113" s="216" t="s">
        <v>454</v>
      </c>
      <c r="F113" s="216" t="s">
        <v>417</v>
      </c>
      <c r="G113" s="216"/>
      <c r="H113" s="216" t="s">
        <v>583</v>
      </c>
      <c r="I113" s="316" t="n">
        <v>46143</v>
      </c>
      <c r="J113" s="315" t="s">
        <v>420</v>
      </c>
      <c r="K113" s="315" t="s">
        <v>421</v>
      </c>
      <c r="L113" s="317" t="n">
        <v>171000</v>
      </c>
      <c r="M113" s="317"/>
      <c r="N113" s="317" t="n">
        <f aca="false">L113+IF(M113="",0,M113)</f>
        <v>171000</v>
      </c>
    </row>
    <row r="114" customFormat="false" ht="15" hidden="false" customHeight="true" outlineLevel="0" collapsed="false">
      <c r="A114" s="315" t="n">
        <v>113</v>
      </c>
      <c r="B114" s="216" t="s">
        <v>594</v>
      </c>
      <c r="C114" s="216" t="s">
        <v>456</v>
      </c>
      <c r="D114" s="216" t="s">
        <v>415</v>
      </c>
      <c r="E114" s="216" t="s">
        <v>459</v>
      </c>
      <c r="F114" s="216" t="s">
        <v>126</v>
      </c>
      <c r="G114" s="216"/>
      <c r="H114" s="216" t="s">
        <v>583</v>
      </c>
      <c r="I114" s="316" t="n">
        <v>46143</v>
      </c>
      <c r="J114" s="315" t="s">
        <v>420</v>
      </c>
      <c r="K114" s="315" t="s">
        <v>421</v>
      </c>
      <c r="L114" s="317" t="n">
        <v>178000</v>
      </c>
      <c r="M114" s="317"/>
      <c r="N114" s="317" t="n">
        <f aca="false">L114+IF(M114="",0,M114)</f>
        <v>178000</v>
      </c>
    </row>
    <row r="115" customFormat="false" ht="15" hidden="false" customHeight="true" outlineLevel="0" collapsed="false">
      <c r="A115" s="315" t="n">
        <v>114</v>
      </c>
      <c r="B115" s="216" t="s">
        <v>595</v>
      </c>
      <c r="C115" s="216" t="s">
        <v>480</v>
      </c>
      <c r="D115" s="216" t="s">
        <v>415</v>
      </c>
      <c r="E115" s="216" t="s">
        <v>596</v>
      </c>
      <c r="F115" s="216" t="s">
        <v>126</v>
      </c>
      <c r="G115" s="216"/>
      <c r="H115" s="216" t="s">
        <v>583</v>
      </c>
      <c r="I115" s="316" t="n">
        <v>46143</v>
      </c>
      <c r="J115" s="315" t="s">
        <v>420</v>
      </c>
      <c r="K115" s="315" t="s">
        <v>421</v>
      </c>
      <c r="L115" s="317" t="n">
        <v>118000</v>
      </c>
      <c r="M115" s="317"/>
      <c r="N115" s="317" t="n">
        <f aca="false">L115+IF(M115="",0,M115)</f>
        <v>118000</v>
      </c>
    </row>
    <row r="116" customFormat="false" ht="15" hidden="false" customHeight="true" outlineLevel="0" collapsed="false">
      <c r="A116" s="315" t="n">
        <v>115</v>
      </c>
      <c r="B116" s="216" t="s">
        <v>597</v>
      </c>
      <c r="C116" s="216" t="s">
        <v>489</v>
      </c>
      <c r="D116" s="216" t="s">
        <v>415</v>
      </c>
      <c r="E116" s="216" t="s">
        <v>497</v>
      </c>
      <c r="F116" s="216" t="s">
        <v>491</v>
      </c>
      <c r="G116" s="216"/>
      <c r="H116" s="216" t="s">
        <v>583</v>
      </c>
      <c r="I116" s="316" t="n">
        <v>46143</v>
      </c>
      <c r="J116" s="315" t="s">
        <v>420</v>
      </c>
      <c r="K116" s="315" t="s">
        <v>421</v>
      </c>
      <c r="L116" s="317" t="n">
        <v>147000</v>
      </c>
      <c r="M116" s="317" t="n">
        <v>36750</v>
      </c>
      <c r="N116" s="317" t="n">
        <f aca="false">L116+IF(M116="",0,M116)</f>
        <v>183750</v>
      </c>
    </row>
    <row r="117" customFormat="false" ht="15" hidden="false" customHeight="true" outlineLevel="0" collapsed="false">
      <c r="A117" s="315" t="n">
        <v>116</v>
      </c>
      <c r="B117" s="216" t="s">
        <v>598</v>
      </c>
      <c r="C117" s="216" t="s">
        <v>489</v>
      </c>
      <c r="D117" s="216" t="s">
        <v>415</v>
      </c>
      <c r="E117" s="216" t="s">
        <v>497</v>
      </c>
      <c r="F117" s="216" t="s">
        <v>491</v>
      </c>
      <c r="G117" s="216"/>
      <c r="H117" s="216" t="s">
        <v>583</v>
      </c>
      <c r="I117" s="316" t="n">
        <v>46143</v>
      </c>
      <c r="J117" s="315" t="s">
        <v>420</v>
      </c>
      <c r="K117" s="315" t="s">
        <v>421</v>
      </c>
      <c r="L117" s="317" t="n">
        <v>145000</v>
      </c>
      <c r="M117" s="317" t="n">
        <v>36250</v>
      </c>
      <c r="N117" s="317" t="n">
        <f aca="false">L117+IF(M117="",0,M117)</f>
        <v>181250</v>
      </c>
    </row>
    <row r="118" customFormat="false" ht="15" hidden="false" customHeight="true" outlineLevel="0" collapsed="false">
      <c r="A118" s="315" t="n">
        <v>117</v>
      </c>
      <c r="B118" s="216" t="s">
        <v>599</v>
      </c>
      <c r="C118" s="216" t="s">
        <v>489</v>
      </c>
      <c r="D118" s="216" t="s">
        <v>415</v>
      </c>
      <c r="E118" s="216" t="s">
        <v>495</v>
      </c>
      <c r="F118" s="216" t="s">
        <v>491</v>
      </c>
      <c r="G118" s="216" t="s">
        <v>492</v>
      </c>
      <c r="H118" s="216" t="s">
        <v>583</v>
      </c>
      <c r="I118" s="316" t="n">
        <v>46143</v>
      </c>
      <c r="J118" s="315" t="s">
        <v>420</v>
      </c>
      <c r="K118" s="315" t="s">
        <v>421</v>
      </c>
      <c r="L118" s="317" t="n">
        <v>129000</v>
      </c>
      <c r="M118" s="317" t="n">
        <v>129000</v>
      </c>
      <c r="N118" s="317" t="n">
        <f aca="false">L118+IF(M118="",0,M118)</f>
        <v>258000</v>
      </c>
    </row>
    <row r="119" customFormat="false" ht="15" hidden="false" customHeight="true" outlineLevel="0" collapsed="false">
      <c r="A119" s="315" t="n">
        <v>118</v>
      </c>
      <c r="B119" s="216" t="s">
        <v>600</v>
      </c>
      <c r="C119" s="216" t="s">
        <v>508</v>
      </c>
      <c r="D119" s="216" t="s">
        <v>415</v>
      </c>
      <c r="E119" s="216" t="s">
        <v>511</v>
      </c>
      <c r="F119" s="216" t="s">
        <v>491</v>
      </c>
      <c r="G119" s="216" t="s">
        <v>492</v>
      </c>
      <c r="H119" s="216" t="s">
        <v>583</v>
      </c>
      <c r="I119" s="316" t="n">
        <v>46143</v>
      </c>
      <c r="J119" s="315" t="s">
        <v>420</v>
      </c>
      <c r="K119" s="315" t="s">
        <v>421</v>
      </c>
      <c r="L119" s="317" t="n">
        <v>103000</v>
      </c>
      <c r="M119" s="317" t="n">
        <v>103000</v>
      </c>
      <c r="N119" s="317" t="n">
        <f aca="false">L119+IF(M119="",0,M119)</f>
        <v>206000</v>
      </c>
    </row>
    <row r="120" customFormat="false" ht="15" hidden="false" customHeight="true" outlineLevel="0" collapsed="false">
      <c r="A120" s="315" t="n">
        <v>119</v>
      </c>
      <c r="B120" s="216" t="s">
        <v>601</v>
      </c>
      <c r="C120" s="216" t="s">
        <v>508</v>
      </c>
      <c r="D120" s="216" t="s">
        <v>415</v>
      </c>
      <c r="E120" s="216" t="s">
        <v>511</v>
      </c>
      <c r="F120" s="216" t="s">
        <v>491</v>
      </c>
      <c r="G120" s="216" t="s">
        <v>492</v>
      </c>
      <c r="H120" s="216" t="s">
        <v>583</v>
      </c>
      <c r="I120" s="316" t="n">
        <v>46143</v>
      </c>
      <c r="J120" s="315" t="s">
        <v>420</v>
      </c>
      <c r="K120" s="315" t="s">
        <v>421</v>
      </c>
      <c r="L120" s="317" t="n">
        <v>93000</v>
      </c>
      <c r="M120" s="317" t="n">
        <v>93000</v>
      </c>
      <c r="N120" s="317" t="n">
        <f aca="false">L120+IF(M120="",0,M120)</f>
        <v>186000</v>
      </c>
    </row>
    <row r="121" customFormat="false" ht="15" hidden="false" customHeight="true" outlineLevel="0" collapsed="false">
      <c r="A121" s="315" t="n">
        <v>120</v>
      </c>
      <c r="B121" s="216" t="s">
        <v>602</v>
      </c>
      <c r="C121" s="216" t="s">
        <v>532</v>
      </c>
      <c r="D121" s="216" t="s">
        <v>415</v>
      </c>
      <c r="E121" s="216" t="s">
        <v>538</v>
      </c>
      <c r="F121" s="216" t="s">
        <v>534</v>
      </c>
      <c r="G121" s="216"/>
      <c r="H121" s="216" t="s">
        <v>583</v>
      </c>
      <c r="I121" s="316" t="n">
        <v>46143</v>
      </c>
      <c r="J121" s="315" t="s">
        <v>420</v>
      </c>
      <c r="K121" s="315" t="s">
        <v>421</v>
      </c>
      <c r="L121" s="317" t="n">
        <v>76000</v>
      </c>
      <c r="M121" s="317"/>
      <c r="N121" s="317" t="n">
        <f aca="false">L121+IF(M121="",0,M121)</f>
        <v>76000</v>
      </c>
    </row>
    <row r="122" customFormat="false" ht="15" hidden="false" customHeight="true" outlineLevel="0" collapsed="false">
      <c r="A122" s="315" t="n">
        <v>121</v>
      </c>
      <c r="B122" s="216" t="s">
        <v>603</v>
      </c>
      <c r="C122" s="216" t="s">
        <v>414</v>
      </c>
      <c r="D122" s="216" t="s">
        <v>415</v>
      </c>
      <c r="E122" s="216" t="s">
        <v>416</v>
      </c>
      <c r="F122" s="216" t="s">
        <v>417</v>
      </c>
      <c r="G122" s="216" t="s">
        <v>418</v>
      </c>
      <c r="H122" s="216" t="s">
        <v>583</v>
      </c>
      <c r="I122" s="316" t="n">
        <v>46174</v>
      </c>
      <c r="J122" s="315" t="s">
        <v>420</v>
      </c>
      <c r="K122" s="315" t="s">
        <v>421</v>
      </c>
      <c r="L122" s="317" t="n">
        <v>109000</v>
      </c>
      <c r="M122" s="317" t="n">
        <v>27250</v>
      </c>
      <c r="N122" s="317" t="n">
        <f aca="false">L122+IF(M122="",0,M122)</f>
        <v>136250</v>
      </c>
    </row>
    <row r="123" customFormat="false" ht="15" hidden="false" customHeight="true" outlineLevel="0" collapsed="false">
      <c r="A123" s="315" t="n">
        <v>122</v>
      </c>
      <c r="B123" s="216" t="s">
        <v>604</v>
      </c>
      <c r="C123" s="216" t="s">
        <v>456</v>
      </c>
      <c r="D123" s="216" t="s">
        <v>415</v>
      </c>
      <c r="E123" s="216" t="s">
        <v>473</v>
      </c>
      <c r="F123" s="216" t="s">
        <v>126</v>
      </c>
      <c r="G123" s="216"/>
      <c r="H123" s="216" t="s">
        <v>583</v>
      </c>
      <c r="I123" s="316" t="n">
        <v>46174</v>
      </c>
      <c r="J123" s="315" t="s">
        <v>420</v>
      </c>
      <c r="K123" s="315" t="s">
        <v>421</v>
      </c>
      <c r="L123" s="317" t="n">
        <v>126000</v>
      </c>
      <c r="M123" s="317"/>
      <c r="N123" s="317" t="n">
        <f aca="false">L123+IF(M123="",0,M123)</f>
        <v>126000</v>
      </c>
    </row>
    <row r="124" customFormat="false" ht="15" hidden="false" customHeight="true" outlineLevel="0" collapsed="false">
      <c r="A124" s="315" t="n">
        <v>123</v>
      </c>
      <c r="B124" s="216" t="s">
        <v>605</v>
      </c>
      <c r="C124" s="216" t="s">
        <v>480</v>
      </c>
      <c r="D124" s="216" t="s">
        <v>415</v>
      </c>
      <c r="E124" s="216" t="s">
        <v>483</v>
      </c>
      <c r="F124" s="216" t="s">
        <v>126</v>
      </c>
      <c r="G124" s="216"/>
      <c r="H124" s="216" t="s">
        <v>583</v>
      </c>
      <c r="I124" s="316" t="n">
        <v>46174</v>
      </c>
      <c r="J124" s="315" t="s">
        <v>420</v>
      </c>
      <c r="K124" s="315" t="s">
        <v>421</v>
      </c>
      <c r="L124" s="317" t="n">
        <v>156000</v>
      </c>
      <c r="M124" s="317"/>
      <c r="N124" s="317" t="n">
        <f aca="false">L124+IF(M124="",0,M124)</f>
        <v>156000</v>
      </c>
    </row>
    <row r="125" customFormat="false" ht="15" hidden="false" customHeight="true" outlineLevel="0" collapsed="false">
      <c r="A125" s="315" t="n">
        <v>124</v>
      </c>
      <c r="B125" s="216" t="s">
        <v>606</v>
      </c>
      <c r="C125" s="216" t="s">
        <v>489</v>
      </c>
      <c r="D125" s="216" t="s">
        <v>415</v>
      </c>
      <c r="E125" s="216" t="s">
        <v>490</v>
      </c>
      <c r="F125" s="216" t="s">
        <v>491</v>
      </c>
      <c r="G125" s="216" t="s">
        <v>492</v>
      </c>
      <c r="H125" s="216" t="s">
        <v>583</v>
      </c>
      <c r="I125" s="316" t="n">
        <v>46174</v>
      </c>
      <c r="J125" s="315" t="s">
        <v>420</v>
      </c>
      <c r="K125" s="315" t="s">
        <v>421</v>
      </c>
      <c r="L125" s="317" t="n">
        <v>149000</v>
      </c>
      <c r="M125" s="317" t="n">
        <v>149000</v>
      </c>
      <c r="N125" s="317" t="n">
        <f aca="false">L125+IF(M125="",0,M125)</f>
        <v>298000</v>
      </c>
    </row>
    <row r="126" customFormat="false" ht="15" hidden="false" customHeight="true" outlineLevel="0" collapsed="false">
      <c r="A126" s="315" t="n">
        <v>125</v>
      </c>
      <c r="B126" s="216" t="s">
        <v>607</v>
      </c>
      <c r="C126" s="216" t="s">
        <v>508</v>
      </c>
      <c r="D126" s="216" t="s">
        <v>415</v>
      </c>
      <c r="E126" s="216" t="s">
        <v>509</v>
      </c>
      <c r="F126" s="216" t="s">
        <v>491</v>
      </c>
      <c r="G126" s="216"/>
      <c r="H126" s="216" t="s">
        <v>583</v>
      </c>
      <c r="I126" s="316" t="n">
        <v>46174</v>
      </c>
      <c r="J126" s="315" t="s">
        <v>420</v>
      </c>
      <c r="K126" s="315" t="s">
        <v>421</v>
      </c>
      <c r="L126" s="317" t="n">
        <v>67000</v>
      </c>
      <c r="M126" s="317" t="n">
        <v>28810</v>
      </c>
      <c r="N126" s="317" t="n">
        <f aca="false">L126+IF(M126="",0,M126)</f>
        <v>95810</v>
      </c>
    </row>
    <row r="127" customFormat="false" ht="15" hidden="false" customHeight="true" outlineLevel="0" collapsed="false">
      <c r="A127" s="315" t="n">
        <v>126</v>
      </c>
      <c r="B127" s="216" t="s">
        <v>608</v>
      </c>
      <c r="C127" s="216" t="s">
        <v>520</v>
      </c>
      <c r="D127" s="216" t="s">
        <v>415</v>
      </c>
      <c r="E127" s="216" t="s">
        <v>521</v>
      </c>
      <c r="F127" s="216" t="s">
        <v>491</v>
      </c>
      <c r="G127" s="216"/>
      <c r="H127" s="216" t="s">
        <v>583</v>
      </c>
      <c r="I127" s="316" t="n">
        <v>46174</v>
      </c>
      <c r="J127" s="315" t="s">
        <v>420</v>
      </c>
      <c r="K127" s="315" t="s">
        <v>421</v>
      </c>
      <c r="L127" s="317" t="n">
        <v>108000</v>
      </c>
      <c r="M127" s="317" t="n">
        <v>27000</v>
      </c>
      <c r="N127" s="317" t="n">
        <f aca="false">L127+IF(M127="",0,M127)</f>
        <v>135000</v>
      </c>
    </row>
    <row r="128" customFormat="false" ht="15" hidden="false" customHeight="true" outlineLevel="0" collapsed="false">
      <c r="A128" s="315" t="n">
        <v>127</v>
      </c>
      <c r="B128" s="216" t="s">
        <v>609</v>
      </c>
      <c r="C128" s="216" t="s">
        <v>456</v>
      </c>
      <c r="D128" s="216" t="s">
        <v>415</v>
      </c>
      <c r="E128" s="216" t="s">
        <v>459</v>
      </c>
      <c r="F128" s="216" t="s">
        <v>126</v>
      </c>
      <c r="G128" s="216"/>
      <c r="H128" s="216" t="s">
        <v>583</v>
      </c>
      <c r="I128" s="316" t="n">
        <v>46204</v>
      </c>
      <c r="J128" s="315" t="s">
        <v>420</v>
      </c>
      <c r="K128" s="315" t="s">
        <v>421</v>
      </c>
      <c r="L128" s="317" t="n">
        <v>184000</v>
      </c>
      <c r="M128" s="317"/>
      <c r="N128" s="317" t="n">
        <f aca="false">L128+IF(M128="",0,M128)</f>
        <v>184000</v>
      </c>
    </row>
    <row r="129" customFormat="false" ht="15" hidden="false" customHeight="true" outlineLevel="0" collapsed="false">
      <c r="A129" s="315" t="n">
        <v>128</v>
      </c>
      <c r="B129" s="216" t="s">
        <v>610</v>
      </c>
      <c r="C129" s="216" t="s">
        <v>489</v>
      </c>
      <c r="D129" s="216" t="s">
        <v>415</v>
      </c>
      <c r="E129" s="216" t="s">
        <v>611</v>
      </c>
      <c r="F129" s="216" t="s">
        <v>491</v>
      </c>
      <c r="G129" s="216"/>
      <c r="H129" s="216" t="s">
        <v>583</v>
      </c>
      <c r="I129" s="316" t="n">
        <v>46204</v>
      </c>
      <c r="J129" s="315" t="s">
        <v>420</v>
      </c>
      <c r="K129" s="315" t="s">
        <v>421</v>
      </c>
      <c r="L129" s="317" t="n">
        <v>118000</v>
      </c>
      <c r="M129" s="317" t="n">
        <v>29500</v>
      </c>
      <c r="N129" s="317" t="n">
        <f aca="false">L129+IF(M129="",0,M129)</f>
        <v>147500</v>
      </c>
    </row>
    <row r="130" customFormat="false" ht="15" hidden="false" customHeight="true" outlineLevel="0" collapsed="false">
      <c r="A130" s="315" t="n">
        <v>129</v>
      </c>
      <c r="B130" s="216" t="s">
        <v>612</v>
      </c>
      <c r="C130" s="216" t="s">
        <v>508</v>
      </c>
      <c r="D130" s="216" t="s">
        <v>415</v>
      </c>
      <c r="E130" s="216" t="s">
        <v>509</v>
      </c>
      <c r="F130" s="216" t="s">
        <v>491</v>
      </c>
      <c r="G130" s="216"/>
      <c r="H130" s="216" t="s">
        <v>583</v>
      </c>
      <c r="I130" s="316" t="n">
        <v>46204</v>
      </c>
      <c r="J130" s="315" t="s">
        <v>420</v>
      </c>
      <c r="K130" s="315" t="s">
        <v>421</v>
      </c>
      <c r="L130" s="317" t="n">
        <v>72000</v>
      </c>
      <c r="M130" s="317" t="n">
        <v>30960</v>
      </c>
      <c r="N130" s="317" t="n">
        <f aca="false">L130+IF(M130="",0,M130)</f>
        <v>102960</v>
      </c>
    </row>
    <row r="131" customFormat="false" ht="15" hidden="false" customHeight="true" outlineLevel="0" collapsed="false">
      <c r="A131" s="315" t="n">
        <v>130</v>
      </c>
      <c r="B131" s="216" t="s">
        <v>613</v>
      </c>
      <c r="C131" s="216" t="s">
        <v>414</v>
      </c>
      <c r="D131" s="216" t="s">
        <v>415</v>
      </c>
      <c r="E131" s="216" t="s">
        <v>428</v>
      </c>
      <c r="F131" s="216" t="s">
        <v>417</v>
      </c>
      <c r="G131" s="216" t="s">
        <v>418</v>
      </c>
      <c r="H131" s="216" t="s">
        <v>583</v>
      </c>
      <c r="I131" s="316" t="n">
        <v>46235</v>
      </c>
      <c r="J131" s="315" t="s">
        <v>420</v>
      </c>
      <c r="K131" s="315" t="s">
        <v>421</v>
      </c>
      <c r="L131" s="317" t="n">
        <v>167000</v>
      </c>
      <c r="M131" s="317" t="n">
        <v>41750</v>
      </c>
      <c r="N131" s="317" t="n">
        <f aca="false">L131+IF(M131="",0,M131)</f>
        <v>208750</v>
      </c>
    </row>
    <row r="132" customFormat="false" ht="15" hidden="false" customHeight="true" outlineLevel="0" collapsed="false">
      <c r="A132" s="315" t="n">
        <v>131</v>
      </c>
      <c r="B132" s="216" t="s">
        <v>614</v>
      </c>
      <c r="C132" s="216" t="s">
        <v>447</v>
      </c>
      <c r="D132" s="216" t="s">
        <v>415</v>
      </c>
      <c r="E132" s="216" t="s">
        <v>454</v>
      </c>
      <c r="F132" s="216" t="s">
        <v>417</v>
      </c>
      <c r="G132" s="216"/>
      <c r="H132" s="216" t="s">
        <v>583</v>
      </c>
      <c r="I132" s="316" t="n">
        <v>46235</v>
      </c>
      <c r="J132" s="315" t="s">
        <v>420</v>
      </c>
      <c r="K132" s="315" t="s">
        <v>421</v>
      </c>
      <c r="L132" s="317" t="n">
        <v>176000</v>
      </c>
      <c r="M132" s="317"/>
      <c r="N132" s="317" t="n">
        <f aca="false">L132+IF(M132="",0,M132)</f>
        <v>176000</v>
      </c>
    </row>
    <row r="133" customFormat="false" ht="15" hidden="false" customHeight="true" outlineLevel="0" collapsed="false">
      <c r="A133" s="315" t="n">
        <v>132</v>
      </c>
      <c r="B133" s="216" t="s">
        <v>615</v>
      </c>
      <c r="C133" s="216" t="s">
        <v>456</v>
      </c>
      <c r="D133" s="216" t="s">
        <v>415</v>
      </c>
      <c r="E133" s="216" t="s">
        <v>459</v>
      </c>
      <c r="F133" s="216" t="s">
        <v>126</v>
      </c>
      <c r="G133" s="216"/>
      <c r="H133" s="216" t="s">
        <v>583</v>
      </c>
      <c r="I133" s="316" t="n">
        <v>46235</v>
      </c>
      <c r="J133" s="315" t="s">
        <v>420</v>
      </c>
      <c r="K133" s="315" t="s">
        <v>421</v>
      </c>
      <c r="L133" s="317" t="n">
        <v>193000</v>
      </c>
      <c r="M133" s="317"/>
      <c r="N133" s="317" t="n">
        <f aca="false">L133+IF(M133="",0,M133)</f>
        <v>193000</v>
      </c>
    </row>
    <row r="134" customFormat="false" ht="15" hidden="false" customHeight="true" outlineLevel="0" collapsed="false">
      <c r="A134" s="315" t="n">
        <v>133</v>
      </c>
      <c r="B134" s="216" t="s">
        <v>616</v>
      </c>
      <c r="C134" s="216" t="s">
        <v>480</v>
      </c>
      <c r="D134" s="216" t="s">
        <v>415</v>
      </c>
      <c r="E134" s="216" t="s">
        <v>483</v>
      </c>
      <c r="F134" s="216" t="s">
        <v>126</v>
      </c>
      <c r="G134" s="216"/>
      <c r="H134" s="216" t="s">
        <v>583</v>
      </c>
      <c r="I134" s="316" t="n">
        <v>46235</v>
      </c>
      <c r="J134" s="315" t="s">
        <v>420</v>
      </c>
      <c r="K134" s="315" t="s">
        <v>421</v>
      </c>
      <c r="L134" s="317" t="n">
        <v>148000</v>
      </c>
      <c r="M134" s="317"/>
      <c r="N134" s="317" t="n">
        <f aca="false">L134+IF(M134="",0,M134)</f>
        <v>148000</v>
      </c>
    </row>
    <row r="135" customFormat="false" ht="15" hidden="false" customHeight="true" outlineLevel="0" collapsed="false">
      <c r="A135" s="315" t="n">
        <v>134</v>
      </c>
      <c r="B135" s="216" t="s">
        <v>617</v>
      </c>
      <c r="C135" s="216" t="s">
        <v>489</v>
      </c>
      <c r="D135" s="216" t="s">
        <v>415</v>
      </c>
      <c r="E135" s="216" t="s">
        <v>495</v>
      </c>
      <c r="F135" s="216" t="s">
        <v>491</v>
      </c>
      <c r="G135" s="216" t="s">
        <v>492</v>
      </c>
      <c r="H135" s="216" t="s">
        <v>583</v>
      </c>
      <c r="I135" s="316" t="n">
        <v>46235</v>
      </c>
      <c r="J135" s="315" t="s">
        <v>420</v>
      </c>
      <c r="K135" s="315" t="s">
        <v>421</v>
      </c>
      <c r="L135" s="317" t="n">
        <v>122000</v>
      </c>
      <c r="M135" s="317" t="n">
        <v>122000</v>
      </c>
      <c r="N135" s="317" t="n">
        <f aca="false">L135+IF(M135="",0,M135)</f>
        <v>244000</v>
      </c>
    </row>
    <row r="136" customFormat="false" ht="15" hidden="false" customHeight="true" outlineLevel="0" collapsed="false">
      <c r="A136" s="315" t="n">
        <v>135</v>
      </c>
      <c r="B136" s="216" t="s">
        <v>618</v>
      </c>
      <c r="C136" s="216" t="s">
        <v>489</v>
      </c>
      <c r="D136" s="216" t="s">
        <v>415</v>
      </c>
      <c r="E136" s="216" t="s">
        <v>490</v>
      </c>
      <c r="F136" s="216" t="s">
        <v>491</v>
      </c>
      <c r="G136" s="216" t="s">
        <v>492</v>
      </c>
      <c r="H136" s="216" t="s">
        <v>583</v>
      </c>
      <c r="I136" s="316" t="n">
        <v>46235</v>
      </c>
      <c r="J136" s="315" t="s">
        <v>420</v>
      </c>
      <c r="K136" s="315" t="s">
        <v>421</v>
      </c>
      <c r="L136" s="317" t="n">
        <v>150000</v>
      </c>
      <c r="M136" s="317" t="n">
        <v>150000</v>
      </c>
      <c r="N136" s="317" t="n">
        <f aca="false">L136+IF(M136="",0,M136)</f>
        <v>300000</v>
      </c>
    </row>
    <row r="137" customFormat="false" ht="15" hidden="false" customHeight="true" outlineLevel="0" collapsed="false">
      <c r="A137" s="315" t="n">
        <v>136</v>
      </c>
      <c r="B137" s="216" t="s">
        <v>619</v>
      </c>
      <c r="C137" s="216" t="s">
        <v>508</v>
      </c>
      <c r="D137" s="216" t="s">
        <v>415</v>
      </c>
      <c r="E137" s="216" t="s">
        <v>511</v>
      </c>
      <c r="F137" s="216" t="s">
        <v>491</v>
      </c>
      <c r="G137" s="216" t="s">
        <v>492</v>
      </c>
      <c r="H137" s="216" t="s">
        <v>583</v>
      </c>
      <c r="I137" s="316" t="n">
        <v>46235</v>
      </c>
      <c r="J137" s="315" t="s">
        <v>420</v>
      </c>
      <c r="K137" s="315" t="s">
        <v>421</v>
      </c>
      <c r="L137" s="317" t="n">
        <v>95000</v>
      </c>
      <c r="M137" s="317" t="n">
        <v>95000</v>
      </c>
      <c r="N137" s="317" t="n">
        <f aca="false">L137+IF(M137="",0,M137)</f>
        <v>190000</v>
      </c>
    </row>
    <row r="138" customFormat="false" ht="15" hidden="false" customHeight="true" outlineLevel="0" collapsed="false">
      <c r="A138" s="315" t="n">
        <v>137</v>
      </c>
      <c r="B138" s="216" t="s">
        <v>620</v>
      </c>
      <c r="C138" s="216" t="s">
        <v>520</v>
      </c>
      <c r="D138" s="216" t="s">
        <v>415</v>
      </c>
      <c r="E138" s="216" t="s">
        <v>530</v>
      </c>
      <c r="F138" s="216" t="s">
        <v>491</v>
      </c>
      <c r="G138" s="216"/>
      <c r="H138" s="216" t="s">
        <v>583</v>
      </c>
      <c r="I138" s="316" t="n">
        <v>46235</v>
      </c>
      <c r="J138" s="315" t="s">
        <v>420</v>
      </c>
      <c r="K138" s="315" t="s">
        <v>421</v>
      </c>
      <c r="L138" s="317" t="n">
        <v>94000</v>
      </c>
      <c r="M138" s="317" t="n">
        <v>23500</v>
      </c>
      <c r="N138" s="317" t="n">
        <f aca="false">L138+IF(M138="",0,M138)</f>
        <v>117500</v>
      </c>
    </row>
    <row r="139" customFormat="false" ht="15" hidden="false" customHeight="true" outlineLevel="0" collapsed="false">
      <c r="A139" s="315" t="n">
        <v>138</v>
      </c>
      <c r="B139" s="216" t="s">
        <v>621</v>
      </c>
      <c r="C139" s="216" t="s">
        <v>532</v>
      </c>
      <c r="D139" s="216" t="s">
        <v>415</v>
      </c>
      <c r="E139" s="216" t="s">
        <v>540</v>
      </c>
      <c r="F139" s="216" t="s">
        <v>534</v>
      </c>
      <c r="G139" s="216"/>
      <c r="H139" s="216" t="s">
        <v>583</v>
      </c>
      <c r="I139" s="316" t="n">
        <v>46235</v>
      </c>
      <c r="J139" s="315" t="s">
        <v>420</v>
      </c>
      <c r="K139" s="315" t="s">
        <v>421</v>
      </c>
      <c r="L139" s="317" t="n">
        <v>111000</v>
      </c>
      <c r="M139" s="317"/>
      <c r="N139" s="317" t="n">
        <f aca="false">L139+IF(M139="",0,M139)</f>
        <v>111000</v>
      </c>
    </row>
    <row r="140" customFormat="false" ht="15" hidden="false" customHeight="true" outlineLevel="0" collapsed="false">
      <c r="A140" s="315" t="n">
        <v>139</v>
      </c>
      <c r="B140" s="216" t="s">
        <v>622</v>
      </c>
      <c r="C140" s="216" t="s">
        <v>456</v>
      </c>
      <c r="D140" s="216" t="s">
        <v>415</v>
      </c>
      <c r="E140" s="216" t="s">
        <v>623</v>
      </c>
      <c r="F140" s="216" t="s">
        <v>126</v>
      </c>
      <c r="G140" s="216"/>
      <c r="H140" s="216" t="s">
        <v>583</v>
      </c>
      <c r="I140" s="316" t="n">
        <v>46266</v>
      </c>
      <c r="J140" s="315" t="s">
        <v>420</v>
      </c>
      <c r="K140" s="315" t="s">
        <v>421</v>
      </c>
      <c r="L140" s="317" t="n">
        <v>176000</v>
      </c>
      <c r="M140" s="317"/>
      <c r="N140" s="317" t="n">
        <f aca="false">L140+IF(M140="",0,M140)</f>
        <v>176000</v>
      </c>
    </row>
    <row r="141" customFormat="false" ht="15" hidden="false" customHeight="true" outlineLevel="0" collapsed="false">
      <c r="A141" s="315" t="n">
        <v>140</v>
      </c>
      <c r="B141" s="216" t="s">
        <v>624</v>
      </c>
      <c r="C141" s="216" t="s">
        <v>489</v>
      </c>
      <c r="D141" s="216" t="s">
        <v>415</v>
      </c>
      <c r="E141" s="216" t="s">
        <v>490</v>
      </c>
      <c r="F141" s="216" t="s">
        <v>491</v>
      </c>
      <c r="G141" s="216" t="s">
        <v>492</v>
      </c>
      <c r="H141" s="216" t="s">
        <v>583</v>
      </c>
      <c r="I141" s="316" t="n">
        <v>46266</v>
      </c>
      <c r="J141" s="315" t="s">
        <v>420</v>
      </c>
      <c r="K141" s="315" t="s">
        <v>421</v>
      </c>
      <c r="L141" s="317" t="n">
        <v>169000</v>
      </c>
      <c r="M141" s="317" t="n">
        <v>169000</v>
      </c>
      <c r="N141" s="317" t="n">
        <f aca="false">L141+IF(M141="",0,M141)</f>
        <v>338000</v>
      </c>
    </row>
    <row r="142" customFormat="false" ht="15" hidden="false" customHeight="true" outlineLevel="0" collapsed="false">
      <c r="A142" s="315" t="n">
        <v>141</v>
      </c>
      <c r="B142" s="216" t="s">
        <v>625</v>
      </c>
      <c r="C142" s="216" t="s">
        <v>508</v>
      </c>
      <c r="D142" s="216" t="s">
        <v>415</v>
      </c>
      <c r="E142" s="216" t="s">
        <v>511</v>
      </c>
      <c r="F142" s="216" t="s">
        <v>491</v>
      </c>
      <c r="G142" s="216" t="s">
        <v>492</v>
      </c>
      <c r="H142" s="216" t="s">
        <v>583</v>
      </c>
      <c r="I142" s="316" t="n">
        <v>46266</v>
      </c>
      <c r="J142" s="315" t="s">
        <v>420</v>
      </c>
      <c r="K142" s="315" t="s">
        <v>421</v>
      </c>
      <c r="L142" s="317" t="n">
        <v>93000</v>
      </c>
      <c r="M142" s="317" t="n">
        <v>93000</v>
      </c>
      <c r="N142" s="317" t="n">
        <f aca="false">L142+IF(M142="",0,M142)</f>
        <v>186000</v>
      </c>
    </row>
    <row r="143" customFormat="false" ht="15" hidden="false" customHeight="true" outlineLevel="0" collapsed="false">
      <c r="A143" s="315" t="n">
        <v>142</v>
      </c>
      <c r="B143" s="216" t="s">
        <v>626</v>
      </c>
      <c r="C143" s="216" t="s">
        <v>456</v>
      </c>
      <c r="D143" s="216" t="s">
        <v>415</v>
      </c>
      <c r="E143" s="216" t="s">
        <v>462</v>
      </c>
      <c r="F143" s="216" t="s">
        <v>126</v>
      </c>
      <c r="G143" s="216"/>
      <c r="H143" s="216" t="s">
        <v>583</v>
      </c>
      <c r="I143" s="316" t="n">
        <v>46296</v>
      </c>
      <c r="J143" s="315" t="s">
        <v>420</v>
      </c>
      <c r="K143" s="315" t="s">
        <v>421</v>
      </c>
      <c r="L143" s="317" t="n">
        <v>163000</v>
      </c>
      <c r="M143" s="317"/>
      <c r="N143" s="317" t="n">
        <f aca="false">L143+IF(M143="",0,M143)</f>
        <v>163000</v>
      </c>
    </row>
    <row r="144" customFormat="false" ht="15" hidden="false" customHeight="true" outlineLevel="0" collapsed="false">
      <c r="A144" s="315" t="n">
        <v>143</v>
      </c>
      <c r="B144" s="216" t="s">
        <v>627</v>
      </c>
      <c r="C144" s="216" t="s">
        <v>489</v>
      </c>
      <c r="D144" s="216" t="s">
        <v>415</v>
      </c>
      <c r="E144" s="216" t="s">
        <v>497</v>
      </c>
      <c r="F144" s="216" t="s">
        <v>491</v>
      </c>
      <c r="G144" s="216"/>
      <c r="H144" s="216" t="s">
        <v>583</v>
      </c>
      <c r="I144" s="316" t="n">
        <v>46296</v>
      </c>
      <c r="J144" s="315" t="s">
        <v>420</v>
      </c>
      <c r="K144" s="315" t="s">
        <v>421</v>
      </c>
      <c r="L144" s="317" t="n">
        <v>151000</v>
      </c>
      <c r="M144" s="317" t="n">
        <v>37750</v>
      </c>
      <c r="N144" s="317" t="n">
        <f aca="false">L144+IF(M144="",0,M144)</f>
        <v>188750</v>
      </c>
    </row>
    <row r="145" customFormat="false" ht="15" hidden="false" customHeight="true" outlineLevel="0" collapsed="false">
      <c r="A145" s="315" t="n">
        <v>144</v>
      </c>
      <c r="B145" s="216" t="s">
        <v>628</v>
      </c>
      <c r="C145" s="216" t="s">
        <v>508</v>
      </c>
      <c r="D145" s="216" t="s">
        <v>415</v>
      </c>
      <c r="E145" s="216" t="s">
        <v>511</v>
      </c>
      <c r="F145" s="216" t="s">
        <v>491</v>
      </c>
      <c r="G145" s="216" t="s">
        <v>492</v>
      </c>
      <c r="H145" s="216" t="s">
        <v>583</v>
      </c>
      <c r="I145" s="316" t="n">
        <v>46296</v>
      </c>
      <c r="J145" s="315" t="s">
        <v>420</v>
      </c>
      <c r="K145" s="315" t="s">
        <v>421</v>
      </c>
      <c r="L145" s="317" t="n">
        <v>106000</v>
      </c>
      <c r="M145" s="317" t="n">
        <v>106000</v>
      </c>
      <c r="N145" s="317" t="n">
        <f aca="false">L145+IF(M145="",0,M145)</f>
        <v>212000</v>
      </c>
    </row>
    <row r="146" customFormat="false" ht="15" hidden="false" customHeight="true" outlineLevel="0" collapsed="false">
      <c r="A146" s="315" t="n">
        <v>145</v>
      </c>
      <c r="B146" s="216" t="s">
        <v>629</v>
      </c>
      <c r="C146" s="216" t="s">
        <v>414</v>
      </c>
      <c r="D146" s="216" t="s">
        <v>415</v>
      </c>
      <c r="E146" s="216" t="s">
        <v>416</v>
      </c>
      <c r="F146" s="216" t="s">
        <v>417</v>
      </c>
      <c r="G146" s="216" t="s">
        <v>418</v>
      </c>
      <c r="H146" s="216" t="s">
        <v>583</v>
      </c>
      <c r="I146" s="316" t="n">
        <v>46327</v>
      </c>
      <c r="J146" s="315" t="s">
        <v>420</v>
      </c>
      <c r="K146" s="315" t="s">
        <v>421</v>
      </c>
      <c r="L146" s="317" t="n">
        <v>106000</v>
      </c>
      <c r="M146" s="317" t="n">
        <v>26500</v>
      </c>
      <c r="N146" s="317" t="n">
        <f aca="false">L146+IF(M146="",0,M146)</f>
        <v>132500</v>
      </c>
    </row>
    <row r="147" customFormat="false" ht="15" hidden="false" customHeight="true" outlineLevel="0" collapsed="false">
      <c r="A147" s="315" t="n">
        <v>146</v>
      </c>
      <c r="B147" s="216" t="s">
        <v>630</v>
      </c>
      <c r="C147" s="216" t="s">
        <v>447</v>
      </c>
      <c r="D147" s="216" t="s">
        <v>415</v>
      </c>
      <c r="E147" s="216" t="s">
        <v>450</v>
      </c>
      <c r="F147" s="216" t="s">
        <v>417</v>
      </c>
      <c r="G147" s="216"/>
      <c r="H147" s="216" t="s">
        <v>583</v>
      </c>
      <c r="I147" s="316" t="n">
        <v>46327</v>
      </c>
      <c r="J147" s="315" t="s">
        <v>420</v>
      </c>
      <c r="K147" s="315" t="s">
        <v>421</v>
      </c>
      <c r="L147" s="317" t="n">
        <v>147000</v>
      </c>
      <c r="M147" s="317"/>
      <c r="N147" s="317" t="n">
        <f aca="false">L147+IF(M147="",0,M147)</f>
        <v>147000</v>
      </c>
    </row>
    <row r="148" customFormat="false" ht="15" hidden="false" customHeight="true" outlineLevel="0" collapsed="false">
      <c r="A148" s="315" t="n">
        <v>147</v>
      </c>
      <c r="B148" s="216" t="s">
        <v>631</v>
      </c>
      <c r="C148" s="216" t="s">
        <v>480</v>
      </c>
      <c r="D148" s="216" t="s">
        <v>415</v>
      </c>
      <c r="E148" s="216" t="s">
        <v>486</v>
      </c>
      <c r="F148" s="216" t="s">
        <v>126</v>
      </c>
      <c r="G148" s="216"/>
      <c r="H148" s="216" t="s">
        <v>583</v>
      </c>
      <c r="I148" s="316" t="n">
        <v>46327</v>
      </c>
      <c r="J148" s="315" t="s">
        <v>420</v>
      </c>
      <c r="K148" s="315" t="s">
        <v>421</v>
      </c>
      <c r="L148" s="317" t="n">
        <v>206000</v>
      </c>
      <c r="M148" s="317"/>
      <c r="N148" s="317" t="n">
        <f aca="false">L148+IF(M148="",0,M148)</f>
        <v>206000</v>
      </c>
    </row>
    <row r="149" customFormat="false" ht="15" hidden="false" customHeight="true" outlineLevel="0" collapsed="false">
      <c r="A149" s="315" t="n">
        <v>148</v>
      </c>
      <c r="B149" s="216" t="s">
        <v>632</v>
      </c>
      <c r="C149" s="216" t="s">
        <v>489</v>
      </c>
      <c r="D149" s="216" t="s">
        <v>415</v>
      </c>
      <c r="E149" s="216" t="s">
        <v>611</v>
      </c>
      <c r="F149" s="216" t="s">
        <v>491</v>
      </c>
      <c r="G149" s="216"/>
      <c r="H149" s="216" t="s">
        <v>583</v>
      </c>
      <c r="I149" s="316" t="n">
        <v>46327</v>
      </c>
      <c r="J149" s="315" t="s">
        <v>420</v>
      </c>
      <c r="K149" s="315" t="s">
        <v>421</v>
      </c>
      <c r="L149" s="317" t="n">
        <v>125000</v>
      </c>
      <c r="M149" s="317" t="n">
        <v>31250</v>
      </c>
      <c r="N149" s="317" t="n">
        <f aca="false">L149+IF(M149="",0,M149)</f>
        <v>156250</v>
      </c>
    </row>
    <row r="150" customFormat="false" ht="15" hidden="false" customHeight="true" outlineLevel="0" collapsed="false">
      <c r="A150" s="315" t="n">
        <v>149</v>
      </c>
      <c r="B150" s="216" t="s">
        <v>633</v>
      </c>
      <c r="C150" s="216" t="s">
        <v>520</v>
      </c>
      <c r="D150" s="216" t="s">
        <v>415</v>
      </c>
      <c r="E150" s="216" t="s">
        <v>530</v>
      </c>
      <c r="F150" s="216" t="s">
        <v>491</v>
      </c>
      <c r="G150" s="216"/>
      <c r="H150" s="216" t="s">
        <v>583</v>
      </c>
      <c r="I150" s="316" t="n">
        <v>46327</v>
      </c>
      <c r="J150" s="315" t="s">
        <v>420</v>
      </c>
      <c r="K150" s="315" t="s">
        <v>421</v>
      </c>
      <c r="L150" s="317" t="n">
        <v>103000</v>
      </c>
      <c r="M150" s="317" t="n">
        <v>25750</v>
      </c>
      <c r="N150" s="317" t="n">
        <f aca="false">L150+IF(M150="",0,M150)</f>
        <v>128750</v>
      </c>
    </row>
    <row r="151" customFormat="false" ht="15" hidden="false" customHeight="true" outlineLevel="0" collapsed="false">
      <c r="A151" s="315" t="n">
        <v>150</v>
      </c>
      <c r="B151" s="216" t="s">
        <v>634</v>
      </c>
      <c r="C151" s="216" t="s">
        <v>545</v>
      </c>
      <c r="D151" s="216" t="s">
        <v>415</v>
      </c>
      <c r="E151" s="216" t="s">
        <v>550</v>
      </c>
      <c r="F151" s="216" t="s">
        <v>534</v>
      </c>
      <c r="G151" s="216"/>
      <c r="H151" s="216" t="s">
        <v>583</v>
      </c>
      <c r="I151" s="316" t="n">
        <v>46327</v>
      </c>
      <c r="J151" s="315" t="s">
        <v>420</v>
      </c>
      <c r="K151" s="315" t="s">
        <v>421</v>
      </c>
      <c r="L151" s="317" t="n">
        <v>79000</v>
      </c>
      <c r="M151" s="317"/>
      <c r="N151" s="317" t="n">
        <f aca="false">L151+IF(M151="",0,M151)</f>
        <v>79000</v>
      </c>
    </row>
    <row r="152" customFormat="false" ht="15" hidden="false" customHeight="true" outlineLevel="0" collapsed="false">
      <c r="A152" s="315" t="n">
        <v>151</v>
      </c>
      <c r="B152" s="216" t="s">
        <v>635</v>
      </c>
      <c r="C152" s="216" t="s">
        <v>456</v>
      </c>
      <c r="D152" s="216" t="s">
        <v>415</v>
      </c>
      <c r="E152" s="216" t="s">
        <v>459</v>
      </c>
      <c r="F152" s="216" t="s">
        <v>126</v>
      </c>
      <c r="G152" s="216"/>
      <c r="H152" s="216" t="s">
        <v>583</v>
      </c>
      <c r="I152" s="316" t="n">
        <v>46357</v>
      </c>
      <c r="J152" s="315" t="s">
        <v>420</v>
      </c>
      <c r="K152" s="315" t="s">
        <v>421</v>
      </c>
      <c r="L152" s="317" t="n">
        <v>188000</v>
      </c>
      <c r="M152" s="317"/>
      <c r="N152" s="317" t="n">
        <f aca="false">L152+IF(M152="",0,M152)</f>
        <v>188000</v>
      </c>
    </row>
    <row r="153" customFormat="false" ht="15" hidden="false" customHeight="true" outlineLevel="0" collapsed="false">
      <c r="A153" s="315" t="n">
        <v>152</v>
      </c>
      <c r="B153" s="216" t="s">
        <v>636</v>
      </c>
      <c r="C153" s="216" t="s">
        <v>489</v>
      </c>
      <c r="D153" s="216" t="s">
        <v>415</v>
      </c>
      <c r="E153" s="216" t="s">
        <v>637</v>
      </c>
      <c r="F153" s="216" t="s">
        <v>491</v>
      </c>
      <c r="G153" s="216"/>
      <c r="H153" s="216" t="s">
        <v>583</v>
      </c>
      <c r="I153" s="316" t="n">
        <v>46357</v>
      </c>
      <c r="J153" s="315" t="s">
        <v>420</v>
      </c>
      <c r="K153" s="315" t="s">
        <v>421</v>
      </c>
      <c r="L153" s="317" t="n">
        <v>133000</v>
      </c>
      <c r="M153" s="317" t="n">
        <v>33250</v>
      </c>
      <c r="N153" s="317" t="n">
        <f aca="false">L153+IF(M153="",0,M153)</f>
        <v>166250</v>
      </c>
    </row>
    <row r="154" customFormat="false" ht="15" hidden="false" customHeight="true" outlineLevel="0" collapsed="false">
      <c r="A154" s="315" t="n">
        <v>153</v>
      </c>
      <c r="B154" s="216" t="s">
        <v>638</v>
      </c>
      <c r="C154" s="216" t="s">
        <v>508</v>
      </c>
      <c r="D154" s="216" t="s">
        <v>415</v>
      </c>
      <c r="E154" s="216" t="s">
        <v>516</v>
      </c>
      <c r="F154" s="216" t="s">
        <v>491</v>
      </c>
      <c r="G154" s="216"/>
      <c r="H154" s="216" t="s">
        <v>583</v>
      </c>
      <c r="I154" s="316" t="n">
        <v>46357</v>
      </c>
      <c r="J154" s="315" t="s">
        <v>420</v>
      </c>
      <c r="K154" s="315" t="s">
        <v>421</v>
      </c>
      <c r="L154" s="317" t="n">
        <v>71000</v>
      </c>
      <c r="M154" s="317" t="n">
        <v>29820</v>
      </c>
      <c r="N154" s="317" t="n">
        <f aca="false">L154+IF(M154="",0,M154)</f>
        <v>100820</v>
      </c>
    </row>
  </sheetData>
  <dataValidations count="2">
    <dataValidation allowBlank="true" errorStyle="stop" operator="between" prompt="Active = in count &amp; cost | Planned = in count &amp; cost (future start) | Hold = excluded from count &amp; cost | Terminated = excluded" promptTitle="Status" showDropDown="false" showErrorMessage="true" showInputMessage="true" sqref="H2:H154" type="list">
      <formula1>"Active,Planned,Hold,Terminated"</formula1>
      <formula2>0</formula2>
    </dataValidation>
    <dataValidation allowBlank="true" error="Please select US, EMEA, or APAC" errorStyle="stop" errorTitle="Invalid Site" operator="between" showDropDown="false" showErrorMessage="true" showInputMessage="true" sqref="D2:D154" type="list">
      <formula1>"US,EMEA,APAC"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2026-04-30T23:38:45Z</dcterms:created>
  <dc:creator>Eric George</dc:creator>
  <dc:description/>
  <dc:language>en-US</dc:language>
  <cp:lastModifiedBy/>
  <dcterms:modified xsi:type="dcterms:W3CDTF">2026-07-26T02:34:58Z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